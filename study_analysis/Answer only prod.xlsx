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Demand Questions" sheetId="1" r:id="rId4"/>
    <sheet state="visible" name="AI Usage Questions" sheetId="2" r:id="rId5"/>
    <sheet state="visible" name="Free Form Questions" sheetId="3" r:id="rId6"/>
    <sheet state="visible" name="Interaction Questions" sheetId="4" r:id="rId7"/>
    <sheet state="visible" name="Demographics" sheetId="5" r:id="rId8"/>
    <sheet state="visible" name="Main Study" sheetId="6" r:id="rId9"/>
    <sheet state="visible" name="Evaluation" sheetId="7" r:id="rId10"/>
    <sheet state="visible" name="679334a846e22adcedd4cfd0" sheetId="8" r:id="rId11"/>
    <sheet state="visible" name="65fb580ab7fbb2d518ee8eaa" sheetId="9" r:id="rId12"/>
    <sheet state="visible" name="6742d74e9f7b3b029a3791a6" sheetId="10" r:id="rId13"/>
    <sheet state="visible" name="67e8bedcc2e4bb440dad3d65" sheetId="11" r:id="rId14"/>
    <sheet state="visible" name="67f1519c5d31be4b27c93b8f" sheetId="12" r:id="rId15"/>
    <sheet state="visible" name="677eed89918027fb1dc8b44f" sheetId="13" r:id="rId16"/>
    <sheet state="visible" name="5c50046b2b89f500015e5f6b" sheetId="14" r:id="rId17"/>
  </sheets>
  <definedNames>
    <definedName hidden="1" localSheetId="7" name="_xlnm._FilterDatabase">'679334a846e22adcedd4cfd0'!$N$1:$P$17</definedName>
  </definedNames>
  <calcPr/>
</workbook>
</file>

<file path=xl/sharedStrings.xml><?xml version="1.0" encoding="utf-8"?>
<sst xmlns="http://schemas.openxmlformats.org/spreadsheetml/2006/main" count="901" uniqueCount="151">
  <si>
    <t>Username</t>
  </si>
  <si>
    <t>I would prefer complex to simple problems.</t>
  </si>
  <si>
    <t>I like to have the responsibility of handling a situation that requires a lot of thinking.</t>
  </si>
  <si>
    <t>Thinking is not my idea of fun.</t>
  </si>
  <si>
    <t>I would rather do something that requires little thought than something that is sure to challenge my thinking abilities.</t>
  </si>
  <si>
    <t>I really enjoy a task that involves coming up with new solutions to problems.</t>
  </si>
  <si>
    <t>I would prefer a task that is intellectual, difficult, and important to one that is somewhat important but does not require much thought.</t>
  </si>
  <si>
    <t>How mentally demanding were the tasks?</t>
  </si>
  <si>
    <t>How successful were you in accomplishing what you were asked to do?</t>
  </si>
  <si>
    <t>How hard did you have to work to accomplish your level of performance?</t>
  </si>
  <si>
    <t>How hurried or rushed were the pace of the tasks?</t>
  </si>
  <si>
    <t>How insecure, discouraged, irritated, stressed, and annoyed were you?</t>
  </si>
  <si>
    <t>Time spent</t>
  </si>
  <si>
    <t>679334a846e22adcedd4cfd0</t>
  </si>
  <si>
    <t>Agree</t>
  </si>
  <si>
    <t>Strongly Disagree</t>
  </si>
  <si>
    <t>905.20549</t>
  </si>
  <si>
    <t>67e8bedcc2e4bb440dad3d65</t>
  </si>
  <si>
    <t>Neutral</t>
  </si>
  <si>
    <t>103.418084</t>
  </si>
  <si>
    <t>5c50046b2b89f500015e5f6b</t>
  </si>
  <si>
    <t>Somewhat Agree</t>
  </si>
  <si>
    <t>Strongly Agree</t>
  </si>
  <si>
    <t>Somewhat Disagree</t>
  </si>
  <si>
    <t>148.076654</t>
  </si>
  <si>
    <t>67f1519c5d31be4b27c93b8f</t>
  </si>
  <si>
    <t>Disagree</t>
  </si>
  <si>
    <t>135.277185</t>
  </si>
  <si>
    <t>How often do you use AI models (e.g. ChatGPT, Claude, Gemini)?</t>
  </si>
  <si>
    <t>Which AI models have you used before?** *(e.g., ChatGPT, Claude, Gemini, etc.)</t>
  </si>
  <si>
    <t>How accurate do you think AI models are in general?</t>
  </si>
  <si>
    <t>Time Spent</t>
  </si>
  <si>
    <t>Sometimes (once a month)</t>
  </si>
  <si>
    <t>ChatGPT</t>
  </si>
  <si>
    <t xml:space="preserve">Generally accurate, but can occasionally make mistakes or offer incomplete answers. </t>
  </si>
  <si>
    <t>525.705533</t>
  </si>
  <si>
    <t>Rarely (once a year)</t>
  </si>
  <si>
    <t>Claude</t>
  </si>
  <si>
    <t>moderate</t>
  </si>
  <si>
    <t>29.498694</t>
  </si>
  <si>
    <t>Usually (once every few days)</t>
  </si>
  <si>
    <t>Mostly accurate</t>
  </si>
  <si>
    <t>43.202076</t>
  </si>
  <si>
    <t>Occasionally (once every few months)</t>
  </si>
  <si>
    <t>Not really accurate</t>
  </si>
  <si>
    <t>53.821846</t>
  </si>
  <si>
    <t>How did you evaluate whether the AI model's answer was correct?</t>
  </si>
  <si>
    <t>In what ways did you use the AI's information to make your decision?</t>
  </si>
  <si>
    <t>What did you think about the information the AI model provided? Was it helpful in guiding your decision?</t>
  </si>
  <si>
    <t>[Optional] Do you have any additional comments or feedback about the study?</t>
  </si>
  <si>
    <t>I compared the AI's answers with my understanding of the problem, doing calculations or considering logical reasoning.</t>
  </si>
  <si>
    <t>I used the model’s answers as a guide and reference to see if they aligned with my reasoning, checking for accuracy and consistency.</t>
  </si>
  <si>
    <t xml:space="preserve">The AI's information was helpful but sometimes required additional verification. It provided a solid starting point, but I cross-checked it to ensure accuracy. </t>
  </si>
  <si>
    <t>The tasks were engaging and insightful, though some problems could have been a bit clearer. The process of comparing answers with the AI was valuable.</t>
  </si>
  <si>
    <t>1178.950128</t>
  </si>
  <si>
    <t xml:space="preserve">I was calculating it by my own to get my answers and compare </t>
  </si>
  <si>
    <t xml:space="preserve">I used the AIs information to help me think the questions through </t>
  </si>
  <si>
    <t xml:space="preserve">It was kind of helpful as it guided me to help me solve the tasks </t>
  </si>
  <si>
    <t>no</t>
  </si>
  <si>
    <t>139.426853</t>
  </si>
  <si>
    <t>If I could I would use the model's answer to check, such as use the solution to check if the value matched. In other words I worked backwards</t>
  </si>
  <si>
    <t>I used  the solution to work backwards and check the answer rather than solve if I could. If I didn't know the answer I would use the AI's answer</t>
  </si>
  <si>
    <t>It did not provide much information and half the time I didn't use the information at all. If I had no idea how to answer the question I would use the AI's answer by default</t>
  </si>
  <si>
    <t/>
  </si>
  <si>
    <t>324.201531</t>
  </si>
  <si>
    <t xml:space="preserve">I solved it a lot of times and used math solutions to analyze it </t>
  </si>
  <si>
    <t xml:space="preserve">I answered the questions and analyzed it with solving it </t>
  </si>
  <si>
    <t>It was helpful and i made good choices over all</t>
  </si>
  <si>
    <t>I liked the study</t>
  </si>
  <si>
    <t>488.842116</t>
  </si>
  <si>
    <t>How confident were you about completing the tasks?</t>
  </si>
  <si>
    <t>How accurate do you think your answers were?</t>
  </si>
  <si>
    <t>How accurate do you think the AI model's answers were?</t>
  </si>
  <si>
    <t>How helpful do you think the AI model's outputs were?</t>
  </si>
  <si>
    <t>Time</t>
  </si>
  <si>
    <t>4 - Confident</t>
  </si>
  <si>
    <t>4 - 60-80% accurate</t>
  </si>
  <si>
    <t>4 - Helpful</t>
  </si>
  <si>
    <t>964.380955</t>
  </si>
  <si>
    <t>2 - Slightly confident</t>
  </si>
  <si>
    <t>3 - 40-60% accurate</t>
  </si>
  <si>
    <t>1 - 0-20% accurate</t>
  </si>
  <si>
    <t>1 - Not at all helpful</t>
  </si>
  <si>
    <t>155.73289</t>
  </si>
  <si>
    <t>3 - Somewhat helpful</t>
  </si>
  <si>
    <t>171.706007</t>
  </si>
  <si>
    <t>5 - Very confident</t>
  </si>
  <si>
    <t>168.610841</t>
  </si>
  <si>
    <t>Gender</t>
  </si>
  <si>
    <t>Self-Described Gender</t>
  </si>
  <si>
    <t>Race/Ethnicity</t>
  </si>
  <si>
    <t>Other Race/Ethnicity</t>
  </si>
  <si>
    <t>Age</t>
  </si>
  <si>
    <t>Job Title</t>
  </si>
  <si>
    <t>Woman</t>
  </si>
  <si>
    <t>White</t>
  </si>
  <si>
    <t>40</t>
  </si>
  <si>
    <t>Engineer</t>
  </si>
  <si>
    <t>65fb580ab7fbb2d518ee8eaa</t>
  </si>
  <si>
    <t>Mixed-race</t>
  </si>
  <si>
    <t>Black, White, Native American</t>
  </si>
  <si>
    <t>45</t>
  </si>
  <si>
    <t>Retail Sales Manager</t>
  </si>
  <si>
    <t>6742d74e9f7b3b029a3791a6</t>
  </si>
  <si>
    <t>Man</t>
  </si>
  <si>
    <t>Black or African American</t>
  </si>
  <si>
    <t>36</t>
  </si>
  <si>
    <t>repair tech</t>
  </si>
  <si>
    <t>41</t>
  </si>
  <si>
    <t>Financial advisor</t>
  </si>
  <si>
    <t>20</t>
  </si>
  <si>
    <t>Teacher</t>
  </si>
  <si>
    <t>677eed89918027fb1dc8b44f</t>
  </si>
  <si>
    <t>Hispanic or Latino</t>
  </si>
  <si>
    <t>58</t>
  </si>
  <si>
    <t>retired</t>
  </si>
  <si>
    <t>Asian</t>
  </si>
  <si>
    <t>28</t>
  </si>
  <si>
    <t>Analyst</t>
  </si>
  <si>
    <t>Conditions</t>
  </si>
  <si>
    <t>Question idx</t>
  </si>
  <si>
    <t>Model Answer</t>
  </si>
  <si>
    <t>Step 1</t>
  </si>
  <si>
    <t>Step 2</t>
  </si>
  <si>
    <t>Gt Answer</t>
  </si>
  <si>
    <t>Question answered</t>
  </si>
  <si>
    <t>Question ids</t>
  </si>
  <si>
    <t>A. Answer only</t>
  </si>
  <si>
    <t>Reject</t>
  </si>
  <si>
    <t>[29, 35, 32, 18, 28, 15, 7, 9, 12, 27, 25, 19]</t>
  </si>
  <si>
    <t>Accept</t>
  </si>
  <si>
    <t>[28, 9, 20, 11, 19, 27, 23, 35, 7, 17, 30, 26]</t>
  </si>
  <si>
    <t>[19, 9, 31, 35, 25, 15, 27, 20, 28, 21, 7, 8]</t>
  </si>
  <si>
    <t>[10, 26, 7, 14, 13, 25, 12, 22, 18, 17, 9, 23]</t>
  </si>
  <si>
    <t>Condition</t>
  </si>
  <si>
    <t>Question Answered</t>
  </si>
  <si>
    <t>Choices</t>
  </si>
  <si>
    <t>Chosen Answer</t>
  </si>
  <si>
    <t>gt Answer</t>
  </si>
  <si>
    <t>IsCorrect</t>
  </si>
  <si>
    <t>Farmer Brown has 20 animals on his farm, all either chickens or cows. They have a total of 70 legs, all together. How many of the animals are chickens?</t>
  </si>
  <si>
    <t>[4.0, 1.0, 5.0, 7.0]</t>
  </si>
  <si>
    <t>Henry and 3 of his friends order 7 pizzas for lunch. Each pizza is cut into 8 slices. If Henry and his friends want to share the pizzas equally, how many slices can each of them have?</t>
  </si>
  <si>
    <t>[16.0, 4.0, 14.0, 15.0]</t>
  </si>
  <si>
    <t>Each digit in the number 2001 is placed on a different card. In how many ways can three different cards be selected so that the product of the numbers on those cards is not zero?</t>
  </si>
  <si>
    <t>[1.0, 5.0, 2.0, 0.0]</t>
  </si>
  <si>
    <t>The girls are trying to raise money for a carnival. Kim raises $320 more than Alexandra, who raises $430, and Maryam raises $400 more than Sarah, who raises $300. How much money, in dollars, did they all raise in total?</t>
  </si>
  <si>
    <t>[2280.0, 2290.0, 2278.0, 2282.0]</t>
  </si>
  <si>
    <t>[2180.0, 2290.0, 2278.0, 2282.0]</t>
  </si>
  <si>
    <t>model acc</t>
  </si>
  <si>
    <t>human pred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</si>
</sst>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0" xfId="0" applyFon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14</v>
      </c>
      <c r="D2" s="2" t="s">
        <v>15</v>
      </c>
      <c r="E2" s="2" t="s">
        <v>15</v>
      </c>
      <c r="F2" s="2" t="s">
        <v>14</v>
      </c>
      <c r="G2" s="2" t="s">
        <v>14</v>
      </c>
      <c r="H2" s="3">
        <v>80.0</v>
      </c>
      <c r="I2" s="3">
        <v>90.0</v>
      </c>
      <c r="J2" s="3">
        <v>70.0</v>
      </c>
      <c r="K2" s="3">
        <v>45.0</v>
      </c>
      <c r="L2" s="3">
        <v>20.0</v>
      </c>
      <c r="M2" s="4" t="s">
        <v>16</v>
      </c>
    </row>
    <row r="3">
      <c r="A3" s="2" t="s">
        <v>17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3">
        <v>75.0</v>
      </c>
      <c r="I3" s="3">
        <v>60.0</v>
      </c>
      <c r="J3" s="3">
        <v>60.0</v>
      </c>
      <c r="K3" s="3">
        <v>60.0</v>
      </c>
      <c r="L3" s="3">
        <v>60.0</v>
      </c>
      <c r="M3" s="4" t="s">
        <v>19</v>
      </c>
    </row>
    <row r="4">
      <c r="A4" s="2" t="s">
        <v>20</v>
      </c>
      <c r="B4" s="2" t="s">
        <v>21</v>
      </c>
      <c r="C4" s="2" t="s">
        <v>22</v>
      </c>
      <c r="D4" s="2" t="s">
        <v>15</v>
      </c>
      <c r="E4" s="2" t="s">
        <v>23</v>
      </c>
      <c r="F4" s="2" t="s">
        <v>22</v>
      </c>
      <c r="G4" s="2" t="s">
        <v>14</v>
      </c>
      <c r="H4" s="3">
        <v>80.0</v>
      </c>
      <c r="I4" s="3">
        <v>70.0</v>
      </c>
      <c r="J4" s="3">
        <v>100.0</v>
      </c>
      <c r="K4" s="3">
        <v>80.0</v>
      </c>
      <c r="L4" s="3">
        <v>85.0</v>
      </c>
      <c r="M4" s="4" t="s">
        <v>24</v>
      </c>
    </row>
    <row r="5">
      <c r="A5" s="2" t="s">
        <v>25</v>
      </c>
      <c r="B5" s="2" t="s">
        <v>18</v>
      </c>
      <c r="C5" s="2" t="s">
        <v>18</v>
      </c>
      <c r="D5" s="2" t="s">
        <v>26</v>
      </c>
      <c r="E5" s="2" t="s">
        <v>21</v>
      </c>
      <c r="F5" s="2" t="s">
        <v>21</v>
      </c>
      <c r="G5" s="2" t="s">
        <v>26</v>
      </c>
      <c r="H5" s="3">
        <v>60.0</v>
      </c>
      <c r="I5" s="3">
        <v>40.0</v>
      </c>
      <c r="J5" s="3">
        <v>60.0</v>
      </c>
      <c r="K5" s="3">
        <v>70.0</v>
      </c>
      <c r="L5" s="3">
        <v>45.0</v>
      </c>
      <c r="M5" s="4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5" t="s">
        <v>28</v>
      </c>
      <c r="C1" s="5" t="s">
        <v>29</v>
      </c>
      <c r="D1" s="5" t="s">
        <v>30</v>
      </c>
      <c r="E1" s="1" t="s">
        <v>31</v>
      </c>
    </row>
    <row r="2">
      <c r="A2" s="2" t="s">
        <v>13</v>
      </c>
      <c r="B2" s="2" t="s">
        <v>32</v>
      </c>
      <c r="C2" s="2" t="s">
        <v>33</v>
      </c>
      <c r="D2" s="2" t="s">
        <v>34</v>
      </c>
      <c r="E2" s="4" t="s">
        <v>35</v>
      </c>
    </row>
    <row r="3">
      <c r="A3" s="2" t="s">
        <v>17</v>
      </c>
      <c r="B3" s="2" t="s">
        <v>36</v>
      </c>
      <c r="C3" s="2" t="s">
        <v>37</v>
      </c>
      <c r="D3" s="2" t="s">
        <v>38</v>
      </c>
      <c r="E3" s="4" t="s">
        <v>39</v>
      </c>
    </row>
    <row r="4">
      <c r="A4" s="2" t="s">
        <v>20</v>
      </c>
      <c r="B4" s="2" t="s">
        <v>40</v>
      </c>
      <c r="C4" s="2" t="s">
        <v>33</v>
      </c>
      <c r="D4" s="2" t="s">
        <v>41</v>
      </c>
      <c r="E4" s="4" t="s">
        <v>42</v>
      </c>
    </row>
    <row r="5">
      <c r="A5" s="2" t="s">
        <v>25</v>
      </c>
      <c r="B5" s="2" t="s">
        <v>43</v>
      </c>
      <c r="C5" s="2" t="s">
        <v>33</v>
      </c>
      <c r="D5" s="2" t="s">
        <v>44</v>
      </c>
      <c r="E5" s="4" t="s">
        <v>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5" t="s">
        <v>46</v>
      </c>
      <c r="C1" s="5" t="s">
        <v>47</v>
      </c>
      <c r="D1" s="5" t="s">
        <v>48</v>
      </c>
      <c r="E1" s="5" t="s">
        <v>49</v>
      </c>
      <c r="F1" s="1" t="s">
        <v>31</v>
      </c>
    </row>
    <row r="2">
      <c r="A2" s="2" t="s">
        <v>13</v>
      </c>
      <c r="B2" s="2" t="s">
        <v>50</v>
      </c>
      <c r="C2" s="2" t="s">
        <v>51</v>
      </c>
      <c r="D2" s="2" t="s">
        <v>52</v>
      </c>
      <c r="E2" s="2" t="s">
        <v>53</v>
      </c>
      <c r="F2" s="4" t="s">
        <v>54</v>
      </c>
    </row>
    <row r="3">
      <c r="A3" s="2" t="s">
        <v>17</v>
      </c>
      <c r="B3" s="2" t="s">
        <v>55</v>
      </c>
      <c r="C3" s="2" t="s">
        <v>56</v>
      </c>
      <c r="D3" s="2" t="s">
        <v>57</v>
      </c>
      <c r="E3" s="2" t="s">
        <v>58</v>
      </c>
      <c r="F3" s="4" t="s">
        <v>59</v>
      </c>
    </row>
    <row r="4">
      <c r="A4" s="2" t="s">
        <v>20</v>
      </c>
      <c r="B4" s="2" t="s">
        <v>60</v>
      </c>
      <c r="C4" s="2" t="s">
        <v>61</v>
      </c>
      <c r="D4" s="2" t="s">
        <v>62</v>
      </c>
      <c r="E4" s="2" t="s">
        <v>63</v>
      </c>
      <c r="F4" s="4" t="s">
        <v>64</v>
      </c>
    </row>
    <row r="5">
      <c r="A5" s="2" t="s">
        <v>25</v>
      </c>
      <c r="B5" s="2" t="s">
        <v>65</v>
      </c>
      <c r="C5" s="2" t="s">
        <v>66</v>
      </c>
      <c r="D5" s="2" t="s">
        <v>67</v>
      </c>
      <c r="E5" s="2" t="s">
        <v>68</v>
      </c>
      <c r="F5" s="4" t="s">
        <v>69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70</v>
      </c>
      <c r="C1" s="6" t="s">
        <v>71</v>
      </c>
      <c r="D1" s="6" t="s">
        <v>72</v>
      </c>
      <c r="E1" s="6" t="s">
        <v>73</v>
      </c>
      <c r="F1" s="6" t="s">
        <v>74</v>
      </c>
      <c r="G1" s="6"/>
    </row>
    <row r="2">
      <c r="A2" s="2" t="s">
        <v>13</v>
      </c>
      <c r="B2" s="2" t="s">
        <v>75</v>
      </c>
      <c r="C2" s="2" t="s">
        <v>76</v>
      </c>
      <c r="D2" s="2" t="s">
        <v>76</v>
      </c>
      <c r="E2" s="2" t="s">
        <v>77</v>
      </c>
      <c r="F2" s="4" t="s">
        <v>78</v>
      </c>
    </row>
    <row r="3">
      <c r="A3" s="2" t="s">
        <v>17</v>
      </c>
      <c r="B3" s="2" t="s">
        <v>79</v>
      </c>
      <c r="C3" s="2" t="s">
        <v>80</v>
      </c>
      <c r="D3" s="2" t="s">
        <v>81</v>
      </c>
      <c r="E3" s="2" t="s">
        <v>82</v>
      </c>
      <c r="F3" s="4" t="s">
        <v>83</v>
      </c>
    </row>
    <row r="4">
      <c r="A4" s="2" t="s">
        <v>20</v>
      </c>
      <c r="B4" s="2" t="s">
        <v>75</v>
      </c>
      <c r="C4" s="2" t="s">
        <v>76</v>
      </c>
      <c r="D4" s="2" t="s">
        <v>80</v>
      </c>
      <c r="E4" s="2" t="s">
        <v>84</v>
      </c>
      <c r="F4" s="4" t="s">
        <v>85</v>
      </c>
    </row>
    <row r="5">
      <c r="A5" s="2" t="s">
        <v>25</v>
      </c>
      <c r="B5" s="2" t="s">
        <v>86</v>
      </c>
      <c r="C5" s="2" t="s">
        <v>76</v>
      </c>
      <c r="D5" s="2" t="s">
        <v>76</v>
      </c>
      <c r="E5" s="2" t="s">
        <v>77</v>
      </c>
      <c r="F5" s="4" t="s">
        <v>87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>
      <c r="A2" s="2" t="s">
        <v>13</v>
      </c>
      <c r="B2" s="2" t="s">
        <v>94</v>
      </c>
      <c r="C2" s="2" t="s">
        <v>63</v>
      </c>
      <c r="D2" s="2" t="s">
        <v>95</v>
      </c>
      <c r="E2" s="2" t="s">
        <v>63</v>
      </c>
      <c r="F2" s="4" t="s">
        <v>96</v>
      </c>
      <c r="G2" s="2" t="s">
        <v>97</v>
      </c>
    </row>
    <row r="3">
      <c r="A3" s="2" t="s">
        <v>98</v>
      </c>
      <c r="B3" s="2" t="s">
        <v>94</v>
      </c>
      <c r="C3" s="2" t="s">
        <v>63</v>
      </c>
      <c r="D3" s="2" t="s">
        <v>99</v>
      </c>
      <c r="E3" s="2" t="s">
        <v>100</v>
      </c>
      <c r="F3" s="4" t="s">
        <v>101</v>
      </c>
      <c r="G3" s="2" t="s">
        <v>102</v>
      </c>
    </row>
    <row r="4">
      <c r="A4" s="2" t="s">
        <v>103</v>
      </c>
      <c r="B4" s="2" t="s">
        <v>104</v>
      </c>
      <c r="C4" s="2" t="s">
        <v>63</v>
      </c>
      <c r="D4" s="2" t="s">
        <v>105</v>
      </c>
      <c r="E4" s="2" t="s">
        <v>63</v>
      </c>
      <c r="F4" s="4" t="s">
        <v>106</v>
      </c>
      <c r="G4" s="2" t="s">
        <v>107</v>
      </c>
    </row>
    <row r="5">
      <c r="A5" s="2" t="s">
        <v>17</v>
      </c>
      <c r="B5" s="2" t="s">
        <v>94</v>
      </c>
      <c r="C5" s="2" t="s">
        <v>63</v>
      </c>
      <c r="D5" s="2" t="s">
        <v>95</v>
      </c>
      <c r="E5" s="2" t="s">
        <v>63</v>
      </c>
      <c r="F5" s="4" t="s">
        <v>108</v>
      </c>
      <c r="G5" s="2" t="s">
        <v>109</v>
      </c>
    </row>
    <row r="6">
      <c r="A6" s="2" t="s">
        <v>25</v>
      </c>
      <c r="B6" s="2" t="s">
        <v>94</v>
      </c>
      <c r="C6" s="2" t="s">
        <v>63</v>
      </c>
      <c r="D6" s="2" t="s">
        <v>105</v>
      </c>
      <c r="E6" s="2" t="s">
        <v>63</v>
      </c>
      <c r="F6" s="4" t="s">
        <v>110</v>
      </c>
      <c r="G6" s="2" t="s">
        <v>111</v>
      </c>
    </row>
    <row r="7">
      <c r="A7" s="2" t="s">
        <v>112</v>
      </c>
      <c r="B7" s="2" t="s">
        <v>94</v>
      </c>
      <c r="C7" s="2" t="s">
        <v>63</v>
      </c>
      <c r="D7" s="2" t="s">
        <v>113</v>
      </c>
      <c r="E7" s="2" t="s">
        <v>63</v>
      </c>
      <c r="F7" s="4" t="s">
        <v>114</v>
      </c>
      <c r="G7" s="2" t="s">
        <v>115</v>
      </c>
    </row>
    <row r="8">
      <c r="A8" s="2" t="s">
        <v>20</v>
      </c>
      <c r="B8" s="2" t="s">
        <v>104</v>
      </c>
      <c r="C8" s="2" t="s">
        <v>63</v>
      </c>
      <c r="D8" s="2" t="s">
        <v>116</v>
      </c>
      <c r="E8" s="2" t="s">
        <v>63</v>
      </c>
      <c r="F8" s="4" t="s">
        <v>117</v>
      </c>
      <c r="G8" s="2" t="s">
        <v>118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</v>
      </c>
      <c r="I1" s="1" t="s">
        <v>125</v>
      </c>
      <c r="J1" s="1" t="s">
        <v>126</v>
      </c>
    </row>
    <row r="2">
      <c r="A2" s="2" t="s">
        <v>13</v>
      </c>
      <c r="B2" s="2" t="s">
        <v>127</v>
      </c>
      <c r="C2" s="3">
        <v>1.0</v>
      </c>
      <c r="D2" s="3">
        <v>540.0</v>
      </c>
      <c r="E2" s="3">
        <v>4.0</v>
      </c>
      <c r="F2" s="2" t="s">
        <v>128</v>
      </c>
      <c r="G2" s="3">
        <v>540.0</v>
      </c>
      <c r="H2" s="3">
        <v>175.12876534461975</v>
      </c>
      <c r="I2" s="3">
        <v>1.0</v>
      </c>
      <c r="J2" s="2" t="s">
        <v>129</v>
      </c>
    </row>
    <row r="3">
      <c r="A3" s="2" t="s">
        <v>13</v>
      </c>
      <c r="B3" s="2" t="s">
        <v>127</v>
      </c>
      <c r="C3" s="3">
        <v>2.0</v>
      </c>
      <c r="D3" s="3">
        <v>12.0</v>
      </c>
      <c r="E3" s="3">
        <v>2.0</v>
      </c>
      <c r="F3" s="2" t="s">
        <v>130</v>
      </c>
      <c r="G3" s="3">
        <v>13.0</v>
      </c>
      <c r="H3" s="3">
        <v>84.91455793380737</v>
      </c>
      <c r="I3" s="3">
        <v>2.0</v>
      </c>
      <c r="J3" s="2" t="s">
        <v>129</v>
      </c>
    </row>
    <row r="4">
      <c r="A4" s="2" t="s">
        <v>13</v>
      </c>
      <c r="B4" s="2" t="s">
        <v>127</v>
      </c>
      <c r="C4" s="3">
        <v>3.0</v>
      </c>
      <c r="D4" s="3">
        <v>10541.52</v>
      </c>
      <c r="E4" s="3">
        <v>3.0</v>
      </c>
      <c r="F4" s="2" t="s">
        <v>128</v>
      </c>
      <c r="G4" s="3">
        <v>9360.0</v>
      </c>
      <c r="H4" s="3">
        <v>92.42579817771912</v>
      </c>
      <c r="I4" s="3">
        <v>3.0</v>
      </c>
      <c r="J4" s="2" t="s">
        <v>129</v>
      </c>
    </row>
    <row r="5">
      <c r="A5" s="2" t="s">
        <v>13</v>
      </c>
      <c r="B5" s="2" t="s">
        <v>127</v>
      </c>
      <c r="C5" s="3">
        <v>4.0</v>
      </c>
      <c r="D5" s="3">
        <v>15.0</v>
      </c>
      <c r="E5" s="3">
        <v>2.0</v>
      </c>
      <c r="F5" s="2" t="s">
        <v>130</v>
      </c>
      <c r="G5" s="3">
        <v>15.0</v>
      </c>
      <c r="H5" s="3">
        <v>66.7067506313324</v>
      </c>
      <c r="I5" s="3">
        <v>4.0</v>
      </c>
      <c r="J5" s="2" t="s">
        <v>129</v>
      </c>
    </row>
    <row r="6">
      <c r="A6" s="2" t="s">
        <v>13</v>
      </c>
      <c r="B6" s="2" t="s">
        <v>127</v>
      </c>
      <c r="C6" s="3">
        <v>29.0</v>
      </c>
      <c r="D6" s="3">
        <v>1.0</v>
      </c>
      <c r="E6" s="3">
        <v>3.0</v>
      </c>
      <c r="F6" s="2" t="s">
        <v>128</v>
      </c>
      <c r="G6" s="3">
        <v>0.0</v>
      </c>
      <c r="H6" s="3">
        <v>255.89820766448975</v>
      </c>
      <c r="I6" s="3">
        <v>5.0</v>
      </c>
      <c r="J6" s="2" t="s">
        <v>129</v>
      </c>
    </row>
    <row r="7">
      <c r="A7" s="2" t="s">
        <v>13</v>
      </c>
      <c r="B7" s="2" t="s">
        <v>127</v>
      </c>
      <c r="C7" s="3">
        <v>35.0</v>
      </c>
      <c r="D7" s="3">
        <v>50.0</v>
      </c>
      <c r="E7" s="3">
        <v>4.0</v>
      </c>
      <c r="F7" s="2" t="s">
        <v>130</v>
      </c>
      <c r="G7" s="3">
        <v>50.0</v>
      </c>
      <c r="H7" s="3">
        <v>182.99751710891724</v>
      </c>
      <c r="I7" s="3">
        <v>6.0</v>
      </c>
      <c r="J7" s="2" t="s">
        <v>129</v>
      </c>
    </row>
    <row r="8">
      <c r="A8" s="2" t="s">
        <v>13</v>
      </c>
      <c r="B8" s="2" t="s">
        <v>127</v>
      </c>
      <c r="C8" s="3">
        <v>32.0</v>
      </c>
      <c r="D8" s="3">
        <v>105.0</v>
      </c>
      <c r="E8" s="3">
        <v>3.0</v>
      </c>
      <c r="F8" s="2" t="s">
        <v>128</v>
      </c>
      <c r="G8" s="3">
        <v>91.0</v>
      </c>
      <c r="H8" s="3">
        <v>96.64996981620789</v>
      </c>
      <c r="I8" s="3">
        <v>7.0</v>
      </c>
      <c r="J8" s="2" t="s">
        <v>129</v>
      </c>
    </row>
    <row r="9">
      <c r="A9" s="2" t="s">
        <v>13</v>
      </c>
      <c r="B9" s="2" t="s">
        <v>127</v>
      </c>
      <c r="C9" s="3">
        <v>18.0</v>
      </c>
      <c r="D9" s="3">
        <v>120.0</v>
      </c>
      <c r="E9" s="3">
        <v>4.0</v>
      </c>
      <c r="F9" s="2" t="s">
        <v>128</v>
      </c>
      <c r="G9" s="3">
        <v>160.0</v>
      </c>
      <c r="H9" s="3">
        <v>85.43823313713074</v>
      </c>
      <c r="I9" s="3">
        <v>8.0</v>
      </c>
      <c r="J9" s="2" t="s">
        <v>129</v>
      </c>
    </row>
    <row r="10">
      <c r="A10" s="2" t="s">
        <v>13</v>
      </c>
      <c r="B10" s="2" t="s">
        <v>127</v>
      </c>
      <c r="C10" s="3">
        <v>28.0</v>
      </c>
      <c r="D10" s="3">
        <v>90.0</v>
      </c>
      <c r="E10" s="3">
        <v>4.0</v>
      </c>
      <c r="F10" s="2" t="s">
        <v>130</v>
      </c>
      <c r="G10" s="3">
        <v>90.0</v>
      </c>
      <c r="H10" s="3">
        <v>83.01126742362976</v>
      </c>
      <c r="I10" s="3">
        <v>9.0</v>
      </c>
      <c r="J10" s="2" t="s">
        <v>129</v>
      </c>
    </row>
    <row r="11">
      <c r="A11" s="2" t="s">
        <v>13</v>
      </c>
      <c r="B11" s="2" t="s">
        <v>127</v>
      </c>
      <c r="C11" s="3">
        <v>15.0</v>
      </c>
      <c r="D11" s="3">
        <v>10.0</v>
      </c>
      <c r="E11" s="3">
        <v>2.0</v>
      </c>
      <c r="F11" s="2" t="s">
        <v>130</v>
      </c>
      <c r="G11" s="3">
        <v>10.0</v>
      </c>
      <c r="H11" s="3">
        <v>120.5859808921814</v>
      </c>
      <c r="I11" s="3">
        <v>10.0</v>
      </c>
      <c r="J11" s="2" t="s">
        <v>129</v>
      </c>
    </row>
    <row r="12">
      <c r="A12" s="2" t="s">
        <v>13</v>
      </c>
      <c r="B12" s="2" t="s">
        <v>127</v>
      </c>
      <c r="C12" s="3">
        <v>7.0</v>
      </c>
      <c r="D12" s="3">
        <v>835.0</v>
      </c>
      <c r="E12" s="3">
        <v>4.0</v>
      </c>
      <c r="F12" s="2" t="s">
        <v>130</v>
      </c>
      <c r="G12" s="3">
        <v>835.0</v>
      </c>
      <c r="H12" s="3">
        <v>130.0830557346344</v>
      </c>
      <c r="I12" s="3">
        <v>11.0</v>
      </c>
      <c r="J12" s="2" t="s">
        <v>129</v>
      </c>
    </row>
    <row r="13">
      <c r="A13" s="2" t="s">
        <v>13</v>
      </c>
      <c r="B13" s="2" t="s">
        <v>127</v>
      </c>
      <c r="C13" s="3">
        <v>9.0</v>
      </c>
      <c r="D13" s="3">
        <v>35.0</v>
      </c>
      <c r="E13" s="3">
        <v>4.0</v>
      </c>
      <c r="F13" s="2" t="s">
        <v>130</v>
      </c>
      <c r="G13" s="3">
        <v>35.0</v>
      </c>
      <c r="H13" s="3">
        <v>110.40724921226501</v>
      </c>
      <c r="I13" s="3">
        <v>12.0</v>
      </c>
      <c r="J13" s="2" t="s">
        <v>129</v>
      </c>
    </row>
    <row r="14">
      <c r="A14" s="2" t="s">
        <v>13</v>
      </c>
      <c r="B14" s="2" t="s">
        <v>127</v>
      </c>
      <c r="C14" s="3">
        <v>12.0</v>
      </c>
      <c r="D14" s="3">
        <v>28.0</v>
      </c>
      <c r="E14" s="3">
        <v>4.0</v>
      </c>
      <c r="F14" s="2" t="s">
        <v>128</v>
      </c>
      <c r="G14" s="3">
        <v>26.0</v>
      </c>
      <c r="H14" s="3">
        <v>46.30409264564514</v>
      </c>
      <c r="I14" s="3">
        <v>13.0</v>
      </c>
      <c r="J14" s="2" t="s">
        <v>129</v>
      </c>
    </row>
    <row r="15">
      <c r="A15" s="2" t="s">
        <v>13</v>
      </c>
      <c r="B15" s="2" t="s">
        <v>127</v>
      </c>
      <c r="C15" s="3">
        <v>27.0</v>
      </c>
      <c r="D15" s="3">
        <v>1244160.0</v>
      </c>
      <c r="E15" s="3">
        <v>2.0</v>
      </c>
      <c r="F15" s="2" t="s">
        <v>128</v>
      </c>
      <c r="G15" s="3">
        <v>1.24416E7</v>
      </c>
      <c r="H15" s="3">
        <v>142.92945265769958</v>
      </c>
      <c r="I15" s="3">
        <v>14.0</v>
      </c>
      <c r="J15" s="2" t="s">
        <v>129</v>
      </c>
    </row>
    <row r="16">
      <c r="A16" s="2" t="s">
        <v>13</v>
      </c>
      <c r="B16" s="2" t="s">
        <v>127</v>
      </c>
      <c r="C16" s="3">
        <v>25.0</v>
      </c>
      <c r="D16" s="3">
        <v>1430.0</v>
      </c>
      <c r="E16" s="3">
        <v>1.0</v>
      </c>
      <c r="F16" s="2" t="s">
        <v>130</v>
      </c>
      <c r="G16" s="3">
        <v>1430.0</v>
      </c>
      <c r="H16" s="3">
        <v>45.95092487335205</v>
      </c>
      <c r="I16" s="3">
        <v>15.0</v>
      </c>
      <c r="J16" s="2" t="s">
        <v>129</v>
      </c>
    </row>
    <row r="17">
      <c r="A17" s="2" t="s">
        <v>13</v>
      </c>
      <c r="B17" s="2" t="s">
        <v>127</v>
      </c>
      <c r="C17" s="3">
        <v>19.0</v>
      </c>
      <c r="D17" s="3">
        <v>2.0</v>
      </c>
      <c r="E17" s="3">
        <v>2.0</v>
      </c>
      <c r="F17" s="2" t="s">
        <v>128</v>
      </c>
      <c r="G17" s="3">
        <v>3.0</v>
      </c>
      <c r="H17" s="3">
        <v>104.9053385257721</v>
      </c>
      <c r="I17" s="3">
        <v>16.0</v>
      </c>
      <c r="J17" s="2" t="s">
        <v>129</v>
      </c>
    </row>
    <row r="18">
      <c r="A18" s="2" t="s">
        <v>17</v>
      </c>
      <c r="B18" s="2" t="s">
        <v>127</v>
      </c>
      <c r="C18" s="3">
        <v>1.0</v>
      </c>
      <c r="D18" s="3">
        <v>540.0</v>
      </c>
      <c r="E18" s="3">
        <v>3.0</v>
      </c>
      <c r="F18" s="2" t="s">
        <v>128</v>
      </c>
      <c r="G18" s="3">
        <v>540.0</v>
      </c>
      <c r="H18" s="3">
        <v>178.65495204925537</v>
      </c>
      <c r="I18" s="3">
        <v>1.0</v>
      </c>
      <c r="J18" s="2" t="s">
        <v>131</v>
      </c>
    </row>
    <row r="19">
      <c r="A19" s="2" t="s">
        <v>17</v>
      </c>
      <c r="B19" s="2" t="s">
        <v>127</v>
      </c>
      <c r="C19" s="3">
        <v>2.0</v>
      </c>
      <c r="D19" s="3">
        <v>12.0</v>
      </c>
      <c r="E19" s="3">
        <v>3.0</v>
      </c>
      <c r="F19" s="2" t="s">
        <v>128</v>
      </c>
      <c r="G19" s="3">
        <v>13.0</v>
      </c>
      <c r="H19" s="3">
        <v>46.47865104675293</v>
      </c>
      <c r="I19" s="3">
        <v>2.0</v>
      </c>
      <c r="J19" s="2" t="s">
        <v>131</v>
      </c>
    </row>
    <row r="20">
      <c r="A20" s="2" t="s">
        <v>17</v>
      </c>
      <c r="B20" s="2" t="s">
        <v>127</v>
      </c>
      <c r="C20" s="3">
        <v>3.0</v>
      </c>
      <c r="D20" s="3">
        <v>10541.52</v>
      </c>
      <c r="E20" s="3">
        <v>3.0</v>
      </c>
      <c r="F20" s="2" t="s">
        <v>128</v>
      </c>
      <c r="G20" s="3">
        <v>9360.0</v>
      </c>
      <c r="H20" s="3">
        <v>61.2333402633667</v>
      </c>
      <c r="I20" s="3">
        <v>3.0</v>
      </c>
      <c r="J20" s="2" t="s">
        <v>131</v>
      </c>
    </row>
    <row r="21">
      <c r="A21" s="2" t="s">
        <v>17</v>
      </c>
      <c r="B21" s="2" t="s">
        <v>127</v>
      </c>
      <c r="C21" s="3">
        <v>4.0</v>
      </c>
      <c r="D21" s="3">
        <v>15.0</v>
      </c>
      <c r="E21" s="3">
        <v>3.0</v>
      </c>
      <c r="F21" s="2" t="s">
        <v>130</v>
      </c>
      <c r="G21" s="3">
        <v>15.0</v>
      </c>
      <c r="H21" s="3">
        <v>49.98689556121826</v>
      </c>
      <c r="I21" s="3">
        <v>4.0</v>
      </c>
      <c r="J21" s="2" t="s">
        <v>131</v>
      </c>
    </row>
    <row r="22">
      <c r="A22" s="2" t="s">
        <v>17</v>
      </c>
      <c r="B22" s="2" t="s">
        <v>127</v>
      </c>
      <c r="C22" s="3">
        <v>28.0</v>
      </c>
      <c r="D22" s="3">
        <v>90.0</v>
      </c>
      <c r="E22" s="3">
        <v>3.0</v>
      </c>
      <c r="F22" s="2" t="s">
        <v>130</v>
      </c>
      <c r="G22" s="3">
        <v>90.0</v>
      </c>
      <c r="H22" s="3">
        <v>90.5948486328125</v>
      </c>
      <c r="I22" s="3">
        <v>5.0</v>
      </c>
      <c r="J22" s="2" t="s">
        <v>131</v>
      </c>
    </row>
    <row r="23">
      <c r="A23" s="2" t="s">
        <v>17</v>
      </c>
      <c r="B23" s="2" t="s">
        <v>127</v>
      </c>
      <c r="C23" s="3">
        <v>9.0</v>
      </c>
      <c r="D23" s="3">
        <v>35.0</v>
      </c>
      <c r="E23" s="3">
        <v>3.0</v>
      </c>
      <c r="F23" s="2" t="s">
        <v>130</v>
      </c>
      <c r="G23" s="3">
        <v>35.0</v>
      </c>
      <c r="H23" s="3">
        <v>58.97955536842346</v>
      </c>
      <c r="I23" s="3">
        <v>6.0</v>
      </c>
      <c r="J23" s="2" t="s">
        <v>131</v>
      </c>
    </row>
    <row r="24">
      <c r="A24" s="2" t="s">
        <v>17</v>
      </c>
      <c r="B24" s="2" t="s">
        <v>127</v>
      </c>
      <c r="C24" s="3">
        <v>20.0</v>
      </c>
      <c r="D24" s="3">
        <v>27.0</v>
      </c>
      <c r="E24" s="3">
        <v>3.0</v>
      </c>
      <c r="F24" s="2" t="s">
        <v>128</v>
      </c>
      <c r="G24" s="3">
        <v>98.0</v>
      </c>
      <c r="H24" s="3">
        <v>43.38880896568298</v>
      </c>
      <c r="I24" s="3">
        <v>7.0</v>
      </c>
      <c r="J24" s="2" t="s">
        <v>131</v>
      </c>
    </row>
    <row r="25">
      <c r="A25" s="2" t="s">
        <v>17</v>
      </c>
      <c r="B25" s="2" t="s">
        <v>127</v>
      </c>
      <c r="C25" s="3">
        <v>11.0</v>
      </c>
      <c r="D25" s="3">
        <v>24.0</v>
      </c>
      <c r="E25" s="3">
        <v>3.0</v>
      </c>
      <c r="F25" s="2" t="s">
        <v>128</v>
      </c>
      <c r="G25" s="3">
        <v>26.0</v>
      </c>
      <c r="H25" s="3">
        <v>48.97406768798828</v>
      </c>
      <c r="I25" s="3">
        <v>8.0</v>
      </c>
      <c r="J25" s="2" t="s">
        <v>131</v>
      </c>
    </row>
    <row r="26">
      <c r="A26" s="2" t="s">
        <v>17</v>
      </c>
      <c r="B26" s="2" t="s">
        <v>127</v>
      </c>
      <c r="C26" s="3">
        <v>19.0</v>
      </c>
      <c r="D26" s="3">
        <v>2.0</v>
      </c>
      <c r="E26" s="3">
        <v>3.0</v>
      </c>
      <c r="F26" s="2" t="s">
        <v>128</v>
      </c>
      <c r="G26" s="3">
        <v>3.0</v>
      </c>
      <c r="H26" s="3">
        <v>49.138113021850586</v>
      </c>
      <c r="I26" s="3">
        <v>9.0</v>
      </c>
      <c r="J26" s="2" t="s">
        <v>131</v>
      </c>
    </row>
    <row r="27">
      <c r="A27" s="2" t="s">
        <v>17</v>
      </c>
      <c r="B27" s="2" t="s">
        <v>127</v>
      </c>
      <c r="C27" s="3">
        <v>27.0</v>
      </c>
      <c r="D27" s="3">
        <v>1244160.0</v>
      </c>
      <c r="E27" s="3">
        <v>3.0</v>
      </c>
      <c r="F27" s="2" t="s">
        <v>128</v>
      </c>
      <c r="G27" s="3">
        <v>1.24416E7</v>
      </c>
      <c r="H27" s="3">
        <v>72.68138599395752</v>
      </c>
      <c r="I27" s="3">
        <v>10.0</v>
      </c>
      <c r="J27" s="2" t="s">
        <v>131</v>
      </c>
    </row>
    <row r="28">
      <c r="A28" s="2" t="s">
        <v>17</v>
      </c>
      <c r="B28" s="2" t="s">
        <v>127</v>
      </c>
      <c r="C28" s="3">
        <v>23.0</v>
      </c>
      <c r="D28" s="3">
        <v>98.0</v>
      </c>
      <c r="E28" s="3">
        <v>3.0</v>
      </c>
      <c r="F28" s="2" t="s">
        <v>130</v>
      </c>
      <c r="G28" s="3">
        <v>98.0</v>
      </c>
      <c r="H28" s="3">
        <v>46.386353492736816</v>
      </c>
      <c r="I28" s="3">
        <v>11.0</v>
      </c>
      <c r="J28" s="2" t="s">
        <v>131</v>
      </c>
    </row>
    <row r="29">
      <c r="A29" s="2" t="s">
        <v>17</v>
      </c>
      <c r="B29" s="2" t="s">
        <v>127</v>
      </c>
      <c r="C29" s="3">
        <v>35.0</v>
      </c>
      <c r="D29" s="3">
        <v>50.0</v>
      </c>
      <c r="E29" s="3">
        <v>3.0</v>
      </c>
      <c r="F29" s="2" t="s">
        <v>128</v>
      </c>
      <c r="G29" s="3">
        <v>50.0</v>
      </c>
      <c r="H29" s="3">
        <v>45.677531242370605</v>
      </c>
      <c r="I29" s="3">
        <v>12.0</v>
      </c>
      <c r="J29" s="2" t="s">
        <v>131</v>
      </c>
    </row>
    <row r="30">
      <c r="A30" s="2" t="s">
        <v>17</v>
      </c>
      <c r="B30" s="2" t="s">
        <v>127</v>
      </c>
      <c r="C30" s="3">
        <v>7.0</v>
      </c>
      <c r="D30" s="3">
        <v>835.0</v>
      </c>
      <c r="E30" s="3">
        <v>3.0</v>
      </c>
      <c r="F30" s="2" t="s">
        <v>130</v>
      </c>
      <c r="G30" s="3">
        <v>835.0</v>
      </c>
      <c r="H30" s="3">
        <v>62.51321053504944</v>
      </c>
      <c r="I30" s="3">
        <v>13.0</v>
      </c>
      <c r="J30" s="2" t="s">
        <v>131</v>
      </c>
    </row>
    <row r="31">
      <c r="A31" s="2" t="s">
        <v>17</v>
      </c>
      <c r="B31" s="2" t="s">
        <v>127</v>
      </c>
      <c r="C31" s="3">
        <v>17.0</v>
      </c>
      <c r="D31" s="3">
        <v>9.0</v>
      </c>
      <c r="E31" s="3">
        <v>3.0</v>
      </c>
      <c r="F31" s="2" t="s">
        <v>128</v>
      </c>
      <c r="G31" s="3">
        <v>9.0</v>
      </c>
      <c r="H31" s="3">
        <v>79.91116142272949</v>
      </c>
      <c r="I31" s="3">
        <v>14.0</v>
      </c>
      <c r="J31" s="2" t="s">
        <v>131</v>
      </c>
    </row>
    <row r="32">
      <c r="A32" s="2" t="s">
        <v>17</v>
      </c>
      <c r="B32" s="2" t="s">
        <v>127</v>
      </c>
      <c r="C32" s="3">
        <v>30.0</v>
      </c>
      <c r="D32" s="3">
        <v>10.0</v>
      </c>
      <c r="E32" s="3">
        <v>3.0</v>
      </c>
      <c r="F32" s="2" t="s">
        <v>128</v>
      </c>
      <c r="G32" s="3">
        <v>2.0</v>
      </c>
      <c r="H32" s="3">
        <v>51.01387310028076</v>
      </c>
      <c r="I32" s="3">
        <v>15.0</v>
      </c>
      <c r="J32" s="2" t="s">
        <v>131</v>
      </c>
    </row>
    <row r="33">
      <c r="A33" s="2" t="s">
        <v>25</v>
      </c>
      <c r="B33" s="2" t="s">
        <v>127</v>
      </c>
      <c r="C33" s="3">
        <v>1.0</v>
      </c>
      <c r="D33" s="3">
        <v>540.0</v>
      </c>
      <c r="E33" s="3">
        <v>3.0</v>
      </c>
      <c r="F33" s="2" t="s">
        <v>130</v>
      </c>
      <c r="G33" s="3">
        <v>540.0</v>
      </c>
      <c r="H33" s="3">
        <v>258.1660621166229</v>
      </c>
      <c r="I33" s="3">
        <v>1.0</v>
      </c>
      <c r="J33" s="2" t="s">
        <v>132</v>
      </c>
    </row>
    <row r="34">
      <c r="A34" s="2" t="s">
        <v>25</v>
      </c>
      <c r="B34" s="2" t="s">
        <v>127</v>
      </c>
      <c r="C34" s="3">
        <v>2.0</v>
      </c>
      <c r="D34" s="3">
        <v>12.0</v>
      </c>
      <c r="E34" s="3">
        <v>3.0</v>
      </c>
      <c r="F34" s="2" t="s">
        <v>130</v>
      </c>
      <c r="G34" s="3">
        <v>13.0</v>
      </c>
      <c r="H34" s="3">
        <v>68.551504611969</v>
      </c>
      <c r="I34" s="3">
        <v>2.0</v>
      </c>
      <c r="J34" s="2" t="s">
        <v>132</v>
      </c>
    </row>
    <row r="35">
      <c r="A35" s="2" t="s">
        <v>17</v>
      </c>
      <c r="B35" s="2" t="s">
        <v>127</v>
      </c>
      <c r="C35" s="3">
        <v>26.0</v>
      </c>
      <c r="D35" s="3">
        <v>46.0</v>
      </c>
      <c r="E35" s="3">
        <v>3.0</v>
      </c>
      <c r="F35" s="2" t="s">
        <v>128</v>
      </c>
      <c r="G35" s="3">
        <v>47.0</v>
      </c>
      <c r="H35" s="3">
        <v>163.62273645401</v>
      </c>
      <c r="I35" s="3">
        <v>16.0</v>
      </c>
      <c r="J35" s="2" t="s">
        <v>131</v>
      </c>
    </row>
    <row r="36">
      <c r="A36" s="2" t="s">
        <v>25</v>
      </c>
      <c r="B36" s="2" t="s">
        <v>127</v>
      </c>
      <c r="C36" s="3">
        <v>3.0</v>
      </c>
      <c r="D36" s="3">
        <v>10541.52</v>
      </c>
      <c r="E36" s="3">
        <v>4.0</v>
      </c>
      <c r="F36" s="2" t="s">
        <v>128</v>
      </c>
      <c r="G36" s="3">
        <v>9360.0</v>
      </c>
      <c r="H36" s="3">
        <v>243.19132113456726</v>
      </c>
      <c r="I36" s="3">
        <v>3.0</v>
      </c>
      <c r="J36" s="2" t="s">
        <v>132</v>
      </c>
    </row>
    <row r="37">
      <c r="A37" s="2" t="s">
        <v>25</v>
      </c>
      <c r="B37" s="2" t="s">
        <v>127</v>
      </c>
      <c r="C37" s="3">
        <v>4.0</v>
      </c>
      <c r="D37" s="3">
        <v>15.0</v>
      </c>
      <c r="E37" s="3">
        <v>2.0</v>
      </c>
      <c r="F37" s="2" t="s">
        <v>130</v>
      </c>
      <c r="G37" s="3">
        <v>15.0</v>
      </c>
      <c r="H37" s="3">
        <v>42.76236176490784</v>
      </c>
      <c r="I37" s="3">
        <v>4.0</v>
      </c>
      <c r="J37" s="2" t="s">
        <v>132</v>
      </c>
    </row>
    <row r="38">
      <c r="A38" s="2" t="s">
        <v>25</v>
      </c>
      <c r="B38" s="2" t="s">
        <v>127</v>
      </c>
      <c r="C38" s="3">
        <v>19.0</v>
      </c>
      <c r="D38" s="3">
        <v>2.0</v>
      </c>
      <c r="E38" s="3">
        <v>3.0</v>
      </c>
      <c r="F38" s="2" t="s">
        <v>128</v>
      </c>
      <c r="G38" s="3">
        <v>3.0</v>
      </c>
      <c r="H38" s="3">
        <v>64.56178426742554</v>
      </c>
      <c r="I38" s="3">
        <v>5.0</v>
      </c>
      <c r="J38" s="2" t="s">
        <v>132</v>
      </c>
    </row>
    <row r="39">
      <c r="A39" s="2" t="s">
        <v>25</v>
      </c>
      <c r="B39" s="2" t="s">
        <v>127</v>
      </c>
      <c r="C39" s="3">
        <v>9.0</v>
      </c>
      <c r="D39" s="3">
        <v>35.0</v>
      </c>
      <c r="E39" s="3">
        <v>3.0</v>
      </c>
      <c r="F39" s="2" t="s">
        <v>130</v>
      </c>
      <c r="G39" s="3">
        <v>35.0</v>
      </c>
      <c r="H39" s="3">
        <v>37.55914664268494</v>
      </c>
      <c r="I39" s="3">
        <v>6.0</v>
      </c>
      <c r="J39" s="2" t="s">
        <v>132</v>
      </c>
    </row>
    <row r="40">
      <c r="A40" s="2" t="s">
        <v>25</v>
      </c>
      <c r="B40" s="2" t="s">
        <v>127</v>
      </c>
      <c r="C40" s="3">
        <v>31.0</v>
      </c>
      <c r="D40" s="3">
        <v>7.5</v>
      </c>
      <c r="E40" s="3">
        <v>2.0</v>
      </c>
      <c r="F40" s="2" t="s">
        <v>128</v>
      </c>
      <c r="G40" s="3">
        <v>60.0</v>
      </c>
      <c r="H40" s="3">
        <v>85.45939564704895</v>
      </c>
      <c r="I40" s="3">
        <v>7.0</v>
      </c>
      <c r="J40" s="2" t="s">
        <v>132</v>
      </c>
    </row>
    <row r="41">
      <c r="A41" s="2" t="s">
        <v>20</v>
      </c>
      <c r="B41" s="2" t="s">
        <v>127</v>
      </c>
      <c r="C41" s="3">
        <v>1.0</v>
      </c>
      <c r="D41" s="3">
        <v>540.0</v>
      </c>
      <c r="E41" s="3">
        <v>3.0</v>
      </c>
      <c r="F41" s="2" t="s">
        <v>130</v>
      </c>
      <c r="G41" s="3">
        <v>540.0</v>
      </c>
      <c r="H41" s="3">
        <v>94.77282381057739</v>
      </c>
      <c r="I41" s="3">
        <v>1.0</v>
      </c>
      <c r="J41" s="2" t="s">
        <v>133</v>
      </c>
    </row>
    <row r="42">
      <c r="A42" s="2" t="s">
        <v>20</v>
      </c>
      <c r="B42" s="2" t="s">
        <v>127</v>
      </c>
      <c r="C42" s="3">
        <v>2.0</v>
      </c>
      <c r="D42" s="3">
        <v>12.0</v>
      </c>
      <c r="E42" s="3">
        <v>1.0</v>
      </c>
      <c r="F42" s="2" t="s">
        <v>130</v>
      </c>
      <c r="G42" s="3">
        <v>13.0</v>
      </c>
      <c r="H42" s="3">
        <v>63.37858200073242</v>
      </c>
      <c r="I42" s="3">
        <v>2.0</v>
      </c>
      <c r="J42" s="2" t="s">
        <v>133</v>
      </c>
    </row>
    <row r="43">
      <c r="A43" s="2" t="s">
        <v>25</v>
      </c>
      <c r="B43" s="2" t="s">
        <v>127</v>
      </c>
      <c r="C43" s="3">
        <v>35.0</v>
      </c>
      <c r="D43" s="3">
        <v>50.0</v>
      </c>
      <c r="E43" s="3">
        <v>4.0</v>
      </c>
      <c r="F43" s="2" t="s">
        <v>128</v>
      </c>
      <c r="G43" s="3">
        <v>50.0</v>
      </c>
      <c r="H43" s="3">
        <v>115.81813526153564</v>
      </c>
      <c r="I43" s="3">
        <v>8.0</v>
      </c>
      <c r="J43" s="2" t="s">
        <v>132</v>
      </c>
    </row>
    <row r="44">
      <c r="A44" s="2" t="s">
        <v>20</v>
      </c>
      <c r="B44" s="2" t="s">
        <v>127</v>
      </c>
      <c r="C44" s="3">
        <v>3.0</v>
      </c>
      <c r="D44" s="3">
        <v>10541.52</v>
      </c>
      <c r="E44" s="3">
        <v>1.0</v>
      </c>
      <c r="F44" s="2" t="s">
        <v>130</v>
      </c>
      <c r="G44" s="3">
        <v>9360.0</v>
      </c>
      <c r="H44" s="3">
        <v>68.82684683799744</v>
      </c>
      <c r="I44" s="3">
        <v>3.0</v>
      </c>
      <c r="J44" s="2" t="s">
        <v>133</v>
      </c>
    </row>
    <row r="45">
      <c r="A45" s="2" t="s">
        <v>20</v>
      </c>
      <c r="B45" s="2" t="s">
        <v>127</v>
      </c>
      <c r="C45" s="3">
        <v>4.0</v>
      </c>
      <c r="D45" s="3">
        <v>15.0</v>
      </c>
      <c r="E45" s="3">
        <v>1.0</v>
      </c>
      <c r="F45" s="2" t="s">
        <v>130</v>
      </c>
      <c r="G45" s="3">
        <v>15.0</v>
      </c>
      <c r="H45" s="3">
        <v>77.2343122959137</v>
      </c>
      <c r="I45" s="3">
        <v>4.0</v>
      </c>
      <c r="J45" s="2" t="s">
        <v>133</v>
      </c>
    </row>
    <row r="46">
      <c r="A46" s="2" t="s">
        <v>20</v>
      </c>
      <c r="B46" s="2" t="s">
        <v>127</v>
      </c>
      <c r="C46" s="3">
        <v>10.0</v>
      </c>
      <c r="D46" s="3">
        <v>18.0</v>
      </c>
      <c r="E46" s="3">
        <v>1.0</v>
      </c>
      <c r="F46" s="2" t="s">
        <v>128</v>
      </c>
      <c r="G46" s="3">
        <v>24.0</v>
      </c>
      <c r="H46" s="3">
        <v>51.815826177597046</v>
      </c>
      <c r="I46" s="3">
        <v>5.0</v>
      </c>
      <c r="J46" s="2" t="s">
        <v>133</v>
      </c>
    </row>
    <row r="47">
      <c r="A47" s="2" t="s">
        <v>25</v>
      </c>
      <c r="B47" s="2" t="s">
        <v>127</v>
      </c>
      <c r="C47" s="3">
        <v>25.0</v>
      </c>
      <c r="D47" s="3">
        <v>1430.0</v>
      </c>
      <c r="E47" s="3">
        <v>4.0</v>
      </c>
      <c r="F47" s="2" t="s">
        <v>130</v>
      </c>
      <c r="G47" s="3">
        <v>1430.0</v>
      </c>
      <c r="H47" s="3">
        <v>189.8446021080017</v>
      </c>
      <c r="I47" s="3">
        <v>9.0</v>
      </c>
      <c r="J47" s="2" t="s">
        <v>132</v>
      </c>
    </row>
    <row r="48">
      <c r="A48" s="2" t="s">
        <v>20</v>
      </c>
      <c r="B48" s="2" t="s">
        <v>127</v>
      </c>
      <c r="C48" s="3">
        <v>26.0</v>
      </c>
      <c r="D48" s="3">
        <v>46.0</v>
      </c>
      <c r="E48" s="3">
        <v>4.0</v>
      </c>
      <c r="F48" s="2" t="s">
        <v>130</v>
      </c>
      <c r="G48" s="3">
        <v>47.0</v>
      </c>
      <c r="H48" s="3">
        <v>55.802958726882935</v>
      </c>
      <c r="I48" s="3">
        <v>6.0</v>
      </c>
      <c r="J48" s="2" t="s">
        <v>133</v>
      </c>
    </row>
    <row r="49">
      <c r="A49" s="2" t="s">
        <v>20</v>
      </c>
      <c r="B49" s="2" t="s">
        <v>127</v>
      </c>
      <c r="C49" s="3">
        <v>7.0</v>
      </c>
      <c r="D49" s="3">
        <v>835.0</v>
      </c>
      <c r="E49" s="3">
        <v>4.0</v>
      </c>
      <c r="F49" s="2" t="s">
        <v>130</v>
      </c>
      <c r="G49" s="3">
        <v>835.0</v>
      </c>
      <c r="H49" s="3">
        <v>47.94355630874634</v>
      </c>
      <c r="I49" s="3">
        <v>7.0</v>
      </c>
      <c r="J49" s="2" t="s">
        <v>133</v>
      </c>
    </row>
    <row r="50">
      <c r="A50" s="2" t="s">
        <v>20</v>
      </c>
      <c r="B50" s="2" t="s">
        <v>127</v>
      </c>
      <c r="C50" s="3">
        <v>14.0</v>
      </c>
      <c r="D50" s="3">
        <v>30.0</v>
      </c>
      <c r="E50" s="3">
        <v>1.0</v>
      </c>
      <c r="F50" s="2" t="s">
        <v>128</v>
      </c>
      <c r="G50" s="3">
        <v>31.0</v>
      </c>
      <c r="H50" s="3">
        <v>77.32153677940369</v>
      </c>
      <c r="I50" s="3">
        <v>8.0</v>
      </c>
      <c r="J50" s="2" t="s">
        <v>133</v>
      </c>
    </row>
    <row r="51">
      <c r="A51" s="2" t="s">
        <v>25</v>
      </c>
      <c r="B51" s="2" t="s">
        <v>127</v>
      </c>
      <c r="C51" s="3">
        <v>15.0</v>
      </c>
      <c r="D51" s="3">
        <v>10.0</v>
      </c>
      <c r="E51" s="3">
        <v>4.0</v>
      </c>
      <c r="F51" s="2" t="s">
        <v>130</v>
      </c>
      <c r="G51" s="3">
        <v>10.0</v>
      </c>
      <c r="H51" s="3">
        <v>228.9351737499237</v>
      </c>
      <c r="I51" s="3">
        <v>10.0</v>
      </c>
      <c r="J51" s="2" t="s">
        <v>132</v>
      </c>
    </row>
    <row r="52">
      <c r="A52" s="2" t="s">
        <v>20</v>
      </c>
      <c r="B52" s="2" t="s">
        <v>127</v>
      </c>
      <c r="C52" s="3">
        <v>13.0</v>
      </c>
      <c r="D52" s="3">
        <v>0.8333</v>
      </c>
      <c r="E52" s="3">
        <v>4.0</v>
      </c>
      <c r="F52" s="2" t="s">
        <v>128</v>
      </c>
      <c r="G52" s="3">
        <v>1.0</v>
      </c>
      <c r="H52" s="3">
        <v>59.602006673812866</v>
      </c>
      <c r="I52" s="3">
        <v>9.0</v>
      </c>
      <c r="J52" s="2" t="s">
        <v>133</v>
      </c>
    </row>
    <row r="53">
      <c r="A53" s="2" t="s">
        <v>20</v>
      </c>
      <c r="B53" s="2" t="s">
        <v>127</v>
      </c>
      <c r="C53" s="3">
        <v>25.0</v>
      </c>
      <c r="D53" s="3">
        <v>1430.0</v>
      </c>
      <c r="E53" s="3">
        <v>1.0</v>
      </c>
      <c r="F53" s="2" t="s">
        <v>130</v>
      </c>
      <c r="G53" s="3">
        <v>1430.0</v>
      </c>
      <c r="H53" s="3">
        <v>23.340635538101196</v>
      </c>
      <c r="I53" s="3">
        <v>10.0</v>
      </c>
      <c r="J53" s="2" t="s">
        <v>133</v>
      </c>
    </row>
    <row r="54">
      <c r="A54" s="2" t="s">
        <v>25</v>
      </c>
      <c r="B54" s="2" t="s">
        <v>127</v>
      </c>
      <c r="C54" s="3">
        <v>27.0</v>
      </c>
      <c r="D54" s="3">
        <v>1244160.0</v>
      </c>
      <c r="E54" s="3">
        <v>3.0</v>
      </c>
      <c r="F54" s="2" t="s">
        <v>128</v>
      </c>
      <c r="G54" s="3">
        <v>1.24416E7</v>
      </c>
      <c r="H54" s="3">
        <v>74.6462299823761</v>
      </c>
      <c r="I54" s="3">
        <v>11.0</v>
      </c>
      <c r="J54" s="2" t="s">
        <v>132</v>
      </c>
    </row>
    <row r="55">
      <c r="A55" s="2" t="s">
        <v>20</v>
      </c>
      <c r="B55" s="2" t="s">
        <v>127</v>
      </c>
      <c r="C55" s="3">
        <v>12.0</v>
      </c>
      <c r="D55" s="3">
        <v>28.0</v>
      </c>
      <c r="E55" s="3">
        <v>1.0</v>
      </c>
      <c r="F55" s="2" t="s">
        <v>128</v>
      </c>
      <c r="G55" s="3">
        <v>26.0</v>
      </c>
      <c r="H55" s="3">
        <v>80.4909119606018</v>
      </c>
      <c r="I55" s="3">
        <v>11.0</v>
      </c>
      <c r="J55" s="2" t="s">
        <v>133</v>
      </c>
    </row>
    <row r="56">
      <c r="A56" s="2" t="s">
        <v>25</v>
      </c>
      <c r="B56" s="2" t="s">
        <v>127</v>
      </c>
      <c r="C56" s="3">
        <v>20.0</v>
      </c>
      <c r="D56" s="3">
        <v>27.0</v>
      </c>
      <c r="E56" s="3">
        <v>3.0</v>
      </c>
      <c r="F56" s="2" t="s">
        <v>128</v>
      </c>
      <c r="G56" s="3">
        <v>98.0</v>
      </c>
      <c r="H56" s="3">
        <v>56.36917066574097</v>
      </c>
      <c r="I56" s="3">
        <v>12.0</v>
      </c>
      <c r="J56" s="2" t="s">
        <v>132</v>
      </c>
    </row>
    <row r="57">
      <c r="A57" s="2" t="s">
        <v>20</v>
      </c>
      <c r="B57" s="2" t="s">
        <v>127</v>
      </c>
      <c r="C57" s="3">
        <v>22.0</v>
      </c>
      <c r="D57" s="3">
        <v>28.0</v>
      </c>
      <c r="E57" s="3">
        <v>1.0</v>
      </c>
      <c r="F57" s="2" t="s">
        <v>130</v>
      </c>
      <c r="G57" s="3">
        <v>28.0</v>
      </c>
      <c r="H57" s="3">
        <v>20.886894464492798</v>
      </c>
      <c r="I57" s="3">
        <v>12.0</v>
      </c>
      <c r="J57" s="2" t="s">
        <v>133</v>
      </c>
    </row>
    <row r="58">
      <c r="A58" s="2" t="s">
        <v>20</v>
      </c>
      <c r="B58" s="2" t="s">
        <v>127</v>
      </c>
      <c r="C58" s="3">
        <v>18.0</v>
      </c>
      <c r="D58" s="3">
        <v>120.0</v>
      </c>
      <c r="E58" s="3">
        <v>1.0</v>
      </c>
      <c r="F58" s="2" t="s">
        <v>128</v>
      </c>
      <c r="G58" s="3">
        <v>160.0</v>
      </c>
      <c r="H58" s="3">
        <v>54.39259481430054</v>
      </c>
      <c r="I58" s="3">
        <v>13.0</v>
      </c>
      <c r="J58" s="2" t="s">
        <v>133</v>
      </c>
    </row>
    <row r="59">
      <c r="A59" s="2" t="s">
        <v>20</v>
      </c>
      <c r="B59" s="2" t="s">
        <v>127</v>
      </c>
      <c r="C59" s="3">
        <v>17.0</v>
      </c>
      <c r="D59" s="3">
        <v>9.0</v>
      </c>
      <c r="E59" s="3">
        <v>5.0</v>
      </c>
      <c r="F59" s="2" t="s">
        <v>130</v>
      </c>
      <c r="G59" s="3">
        <v>9.0</v>
      </c>
      <c r="H59" s="3">
        <v>44.80656886100769</v>
      </c>
      <c r="I59" s="3">
        <v>14.0</v>
      </c>
      <c r="J59" s="2" t="s">
        <v>133</v>
      </c>
    </row>
    <row r="60">
      <c r="A60" s="2" t="s">
        <v>25</v>
      </c>
      <c r="B60" s="2" t="s">
        <v>127</v>
      </c>
      <c r="C60" s="3">
        <v>28.0</v>
      </c>
      <c r="D60" s="3">
        <v>90.0</v>
      </c>
      <c r="E60" s="3">
        <v>2.0</v>
      </c>
      <c r="F60" s="2" t="s">
        <v>130</v>
      </c>
      <c r="G60" s="3">
        <v>90.0</v>
      </c>
      <c r="H60" s="3">
        <v>104.88154721260071</v>
      </c>
      <c r="I60" s="3">
        <v>13.0</v>
      </c>
      <c r="J60" s="2" t="s">
        <v>132</v>
      </c>
    </row>
    <row r="61">
      <c r="A61" s="2" t="s">
        <v>20</v>
      </c>
      <c r="B61" s="2" t="s">
        <v>127</v>
      </c>
      <c r="C61" s="3">
        <v>9.0</v>
      </c>
      <c r="D61" s="3">
        <v>35.0</v>
      </c>
      <c r="E61" s="3">
        <v>5.0</v>
      </c>
      <c r="F61" s="2" t="s">
        <v>130</v>
      </c>
      <c r="G61" s="3">
        <v>35.0</v>
      </c>
      <c r="H61" s="3">
        <v>11.329440355300903</v>
      </c>
      <c r="I61" s="3">
        <v>15.0</v>
      </c>
      <c r="J61" s="2" t="s">
        <v>133</v>
      </c>
    </row>
    <row r="62">
      <c r="A62" s="2" t="s">
        <v>20</v>
      </c>
      <c r="B62" s="2" t="s">
        <v>127</v>
      </c>
      <c r="C62" s="3">
        <v>23.0</v>
      </c>
      <c r="D62" s="3">
        <v>98.0</v>
      </c>
      <c r="E62" s="3">
        <v>4.0</v>
      </c>
      <c r="F62" s="2" t="s">
        <v>130</v>
      </c>
      <c r="G62" s="3">
        <v>98.0</v>
      </c>
      <c r="H62" s="3">
        <v>107.33871579170227</v>
      </c>
      <c r="I62" s="3">
        <v>16.0</v>
      </c>
      <c r="J62" s="2" t="s">
        <v>133</v>
      </c>
    </row>
    <row r="63">
      <c r="A63" s="2" t="s">
        <v>25</v>
      </c>
      <c r="B63" s="2" t="s">
        <v>127</v>
      </c>
      <c r="C63" s="3">
        <v>21.0</v>
      </c>
      <c r="D63" s="3">
        <v>246.0</v>
      </c>
      <c r="E63" s="3">
        <v>4.0</v>
      </c>
      <c r="F63" s="2" t="s">
        <v>130</v>
      </c>
      <c r="G63" s="3">
        <v>245.0</v>
      </c>
      <c r="H63" s="3">
        <v>116.70485401153564</v>
      </c>
      <c r="I63" s="3">
        <v>14.0</v>
      </c>
      <c r="J63" s="2" t="s">
        <v>132</v>
      </c>
    </row>
    <row r="64">
      <c r="A64" s="2" t="s">
        <v>25</v>
      </c>
      <c r="B64" s="2" t="s">
        <v>127</v>
      </c>
      <c r="C64" s="3">
        <v>7.0</v>
      </c>
      <c r="D64" s="3">
        <v>835.0</v>
      </c>
      <c r="E64" s="3">
        <v>2.0</v>
      </c>
      <c r="F64" s="2" t="s">
        <v>130</v>
      </c>
      <c r="G64" s="3">
        <v>835.0</v>
      </c>
      <c r="H64" s="3">
        <v>63.13847827911377</v>
      </c>
      <c r="I64" s="3">
        <v>15.0</v>
      </c>
      <c r="J64" s="2" t="s">
        <v>132</v>
      </c>
    </row>
    <row r="65">
      <c r="A65" s="2" t="s">
        <v>25</v>
      </c>
      <c r="B65" s="2" t="s">
        <v>127</v>
      </c>
      <c r="C65" s="3">
        <v>8.0</v>
      </c>
      <c r="D65" s="3">
        <v>14.0</v>
      </c>
      <c r="E65" s="3">
        <v>4.0</v>
      </c>
      <c r="F65" s="2" t="s">
        <v>128</v>
      </c>
      <c r="G65" s="3">
        <v>11.0</v>
      </c>
      <c r="H65" s="3">
        <v>69.75827550888062</v>
      </c>
      <c r="I65" s="3">
        <v>16.0</v>
      </c>
      <c r="J65" s="2" t="s">
        <v>132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134</v>
      </c>
      <c r="C1" s="6" t="s">
        <v>120</v>
      </c>
      <c r="D1" s="6" t="s">
        <v>135</v>
      </c>
      <c r="E1" s="6" t="s">
        <v>136</v>
      </c>
      <c r="F1" s="6" t="s">
        <v>137</v>
      </c>
      <c r="G1" s="6" t="s">
        <v>138</v>
      </c>
      <c r="H1" s="6" t="s">
        <v>139</v>
      </c>
      <c r="I1" s="6" t="s">
        <v>74</v>
      </c>
    </row>
    <row r="2">
      <c r="A2" s="2" t="s">
        <v>13</v>
      </c>
      <c r="B2" s="2" t="s">
        <v>127</v>
      </c>
      <c r="C2" s="3">
        <v>0.0</v>
      </c>
      <c r="D2" s="2" t="s">
        <v>140</v>
      </c>
      <c r="E2" s="2" t="s">
        <v>141</v>
      </c>
      <c r="F2" s="3">
        <v>5.0</v>
      </c>
      <c r="G2" s="3">
        <v>5.0</v>
      </c>
      <c r="H2" s="3" t="b">
        <v>1</v>
      </c>
      <c r="I2" s="3">
        <v>43.563482</v>
      </c>
    </row>
    <row r="3">
      <c r="A3" s="2" t="s">
        <v>13</v>
      </c>
      <c r="B3" s="2" t="s">
        <v>127</v>
      </c>
      <c r="C3" s="3">
        <v>1.0</v>
      </c>
      <c r="D3" s="2" t="s">
        <v>142</v>
      </c>
      <c r="E3" s="2" t="s">
        <v>143</v>
      </c>
      <c r="F3" s="3">
        <v>14.0</v>
      </c>
      <c r="G3" s="3">
        <v>14.0</v>
      </c>
      <c r="H3" s="3" t="b">
        <v>1</v>
      </c>
      <c r="I3" s="3">
        <v>36.20268</v>
      </c>
    </row>
    <row r="4">
      <c r="A4" s="2" t="s">
        <v>13</v>
      </c>
      <c r="B4" s="2" t="s">
        <v>127</v>
      </c>
      <c r="C4" s="3">
        <v>2.0</v>
      </c>
      <c r="D4" s="2" t="s">
        <v>144</v>
      </c>
      <c r="E4" s="2" t="s">
        <v>145</v>
      </c>
      <c r="F4" s="3">
        <v>0.0</v>
      </c>
      <c r="G4" s="3">
        <v>0.0</v>
      </c>
      <c r="H4" s="3" t="b">
        <v>1</v>
      </c>
      <c r="I4" s="3">
        <v>17.479231</v>
      </c>
    </row>
    <row r="5">
      <c r="A5" s="2" t="s">
        <v>13</v>
      </c>
      <c r="B5" s="2" t="s">
        <v>127</v>
      </c>
      <c r="C5" s="3">
        <v>3.0</v>
      </c>
      <c r="D5" s="2" t="s">
        <v>146</v>
      </c>
      <c r="E5" s="2" t="s">
        <v>147</v>
      </c>
      <c r="F5" s="3">
        <v>2278.0</v>
      </c>
      <c r="G5" s="3">
        <v>2280.0</v>
      </c>
      <c r="H5" s="3" t="b">
        <v>0</v>
      </c>
      <c r="I5" s="3">
        <v>26.88372</v>
      </c>
    </row>
    <row r="6">
      <c r="A6" s="2" t="s">
        <v>98</v>
      </c>
      <c r="B6" s="2" t="s">
        <v>127</v>
      </c>
      <c r="C6" s="3">
        <v>0.0</v>
      </c>
      <c r="D6" s="2" t="s">
        <v>140</v>
      </c>
      <c r="E6" s="2" t="s">
        <v>141</v>
      </c>
      <c r="F6" s="3">
        <v>4.0</v>
      </c>
      <c r="G6" s="3">
        <v>5.0</v>
      </c>
      <c r="H6" s="3" t="b">
        <v>0</v>
      </c>
      <c r="I6" s="3">
        <v>71.634565</v>
      </c>
    </row>
    <row r="7">
      <c r="A7" s="2" t="s">
        <v>98</v>
      </c>
      <c r="B7" s="2" t="s">
        <v>127</v>
      </c>
      <c r="C7" s="3">
        <v>1.0</v>
      </c>
      <c r="D7" s="2" t="s">
        <v>142</v>
      </c>
      <c r="E7" s="2" t="s">
        <v>143</v>
      </c>
      <c r="F7" s="3">
        <v>14.0</v>
      </c>
      <c r="G7" s="3">
        <v>14.0</v>
      </c>
      <c r="H7" s="3" t="b">
        <v>1</v>
      </c>
      <c r="I7" s="3">
        <v>46.716022</v>
      </c>
    </row>
    <row r="8">
      <c r="A8" s="2" t="s">
        <v>98</v>
      </c>
      <c r="B8" s="2" t="s">
        <v>127</v>
      </c>
      <c r="C8" s="3">
        <v>2.0</v>
      </c>
      <c r="D8" s="2" t="s">
        <v>144</v>
      </c>
      <c r="E8" s="2" t="s">
        <v>145</v>
      </c>
      <c r="F8" s="3">
        <v>5.0</v>
      </c>
      <c r="G8" s="3">
        <v>0.0</v>
      </c>
      <c r="H8" s="3" t="b">
        <v>0</v>
      </c>
      <c r="I8" s="3">
        <v>59.443282</v>
      </c>
    </row>
    <row r="9">
      <c r="A9" s="2" t="s">
        <v>98</v>
      </c>
      <c r="B9" s="2" t="s">
        <v>127</v>
      </c>
      <c r="C9" s="3">
        <v>3.0</v>
      </c>
      <c r="D9" s="2" t="s">
        <v>146</v>
      </c>
      <c r="E9" s="2" t="s">
        <v>147</v>
      </c>
      <c r="F9" s="3">
        <v>2280.0</v>
      </c>
      <c r="G9" s="3">
        <v>2280.0</v>
      </c>
      <c r="H9" s="3" t="b">
        <v>1</v>
      </c>
      <c r="I9" s="3">
        <v>111.121537</v>
      </c>
    </row>
    <row r="10">
      <c r="A10" s="2" t="s">
        <v>17</v>
      </c>
      <c r="B10" s="2" t="s">
        <v>127</v>
      </c>
      <c r="C10" s="3">
        <v>0.0</v>
      </c>
      <c r="D10" s="2" t="s">
        <v>140</v>
      </c>
      <c r="E10" s="2" t="s">
        <v>141</v>
      </c>
      <c r="F10" s="3">
        <v>5.0</v>
      </c>
      <c r="G10" s="3">
        <v>5.0</v>
      </c>
      <c r="H10" s="3" t="b">
        <v>1</v>
      </c>
      <c r="I10" s="3">
        <v>93.050544</v>
      </c>
    </row>
    <row r="11">
      <c r="A11" s="2" t="s">
        <v>17</v>
      </c>
      <c r="B11" s="2" t="s">
        <v>127</v>
      </c>
      <c r="C11" s="3">
        <v>1.0</v>
      </c>
      <c r="D11" s="2" t="s">
        <v>142</v>
      </c>
      <c r="E11" s="2" t="s">
        <v>143</v>
      </c>
      <c r="F11" s="3">
        <v>14.0</v>
      </c>
      <c r="G11" s="3">
        <v>14.0</v>
      </c>
      <c r="H11" s="3" t="b">
        <v>1</v>
      </c>
      <c r="I11" s="3">
        <v>34.428214</v>
      </c>
    </row>
    <row r="12">
      <c r="A12" s="2" t="s">
        <v>17</v>
      </c>
      <c r="B12" s="2" t="s">
        <v>127</v>
      </c>
      <c r="C12" s="3">
        <v>2.0</v>
      </c>
      <c r="D12" s="2" t="s">
        <v>144</v>
      </c>
      <c r="E12" s="2" t="s">
        <v>145</v>
      </c>
      <c r="F12" s="3">
        <v>0.0</v>
      </c>
      <c r="G12" s="3">
        <v>0.0</v>
      </c>
      <c r="H12" s="3" t="b">
        <v>1</v>
      </c>
      <c r="I12" s="3">
        <v>35.048044</v>
      </c>
    </row>
    <row r="13">
      <c r="A13" s="2" t="s">
        <v>103</v>
      </c>
      <c r="B13" s="2" t="s">
        <v>127</v>
      </c>
      <c r="C13" s="3">
        <v>0.0</v>
      </c>
      <c r="D13" s="2" t="s">
        <v>140</v>
      </c>
      <c r="E13" s="2" t="s">
        <v>141</v>
      </c>
      <c r="F13" s="3">
        <v>5.0</v>
      </c>
      <c r="G13" s="3">
        <v>5.0</v>
      </c>
      <c r="H13" s="3" t="b">
        <v>1</v>
      </c>
      <c r="I13" s="3">
        <v>80.310268</v>
      </c>
    </row>
    <row r="14">
      <c r="A14" s="2" t="s">
        <v>17</v>
      </c>
      <c r="B14" s="2" t="s">
        <v>127</v>
      </c>
      <c r="C14" s="3">
        <v>3.0</v>
      </c>
      <c r="D14" s="2" t="s">
        <v>146</v>
      </c>
      <c r="E14" s="2" t="s">
        <v>147</v>
      </c>
      <c r="F14" s="3">
        <v>2280.0</v>
      </c>
      <c r="G14" s="3">
        <v>2280.0</v>
      </c>
      <c r="H14" s="3" t="b">
        <v>1</v>
      </c>
      <c r="I14" s="3">
        <v>114.676951</v>
      </c>
    </row>
    <row r="15">
      <c r="A15" s="2" t="s">
        <v>103</v>
      </c>
      <c r="B15" s="2" t="s">
        <v>127</v>
      </c>
      <c r="C15" s="3">
        <v>1.0</v>
      </c>
      <c r="D15" s="2" t="s">
        <v>142</v>
      </c>
      <c r="E15" s="2" t="s">
        <v>143</v>
      </c>
      <c r="F15" s="3">
        <v>14.0</v>
      </c>
      <c r="G15" s="3">
        <v>14.0</v>
      </c>
      <c r="H15" s="3" t="b">
        <v>1</v>
      </c>
      <c r="I15" s="3">
        <v>66.605161</v>
      </c>
    </row>
    <row r="16">
      <c r="A16" s="2" t="s">
        <v>103</v>
      </c>
      <c r="B16" s="2" t="s">
        <v>127</v>
      </c>
      <c r="C16" s="3">
        <v>2.0</v>
      </c>
      <c r="D16" s="2" t="s">
        <v>144</v>
      </c>
      <c r="E16" s="2" t="s">
        <v>145</v>
      </c>
      <c r="F16" s="3">
        <v>2.0</v>
      </c>
      <c r="G16" s="3">
        <v>0.0</v>
      </c>
      <c r="H16" s="3" t="b">
        <v>0</v>
      </c>
      <c r="I16" s="3">
        <v>87.658438</v>
      </c>
    </row>
    <row r="17">
      <c r="A17" s="2" t="s">
        <v>103</v>
      </c>
      <c r="B17" s="2" t="s">
        <v>127</v>
      </c>
      <c r="C17" s="3">
        <v>3.0</v>
      </c>
      <c r="D17" s="2" t="s">
        <v>146</v>
      </c>
      <c r="E17" s="2" t="s">
        <v>147</v>
      </c>
      <c r="F17" s="3">
        <v>2278.0</v>
      </c>
      <c r="G17" s="3">
        <v>2280.0</v>
      </c>
      <c r="H17" s="3" t="b">
        <v>0</v>
      </c>
      <c r="I17" s="3">
        <v>50.97627</v>
      </c>
    </row>
    <row r="18">
      <c r="A18" s="2" t="s">
        <v>25</v>
      </c>
      <c r="B18" s="2" t="s">
        <v>127</v>
      </c>
      <c r="C18" s="3">
        <v>0.0</v>
      </c>
      <c r="D18" s="2" t="s">
        <v>140</v>
      </c>
      <c r="E18" s="2" t="s">
        <v>141</v>
      </c>
      <c r="F18" s="3">
        <v>5.0</v>
      </c>
      <c r="G18" s="3">
        <v>5.0</v>
      </c>
      <c r="H18" s="3" t="b">
        <v>1</v>
      </c>
      <c r="I18" s="3">
        <v>79.620104</v>
      </c>
    </row>
    <row r="19">
      <c r="A19" s="2" t="s">
        <v>25</v>
      </c>
      <c r="B19" s="2" t="s">
        <v>127</v>
      </c>
      <c r="C19" s="3">
        <v>1.0</v>
      </c>
      <c r="D19" s="2" t="s">
        <v>142</v>
      </c>
      <c r="E19" s="2" t="s">
        <v>143</v>
      </c>
      <c r="F19" s="3">
        <v>14.0</v>
      </c>
      <c r="G19" s="3">
        <v>14.0</v>
      </c>
      <c r="H19" s="3" t="b">
        <v>1</v>
      </c>
      <c r="I19" s="3">
        <v>21.152245</v>
      </c>
    </row>
    <row r="20">
      <c r="A20" s="2" t="s">
        <v>25</v>
      </c>
      <c r="B20" s="2" t="s">
        <v>127</v>
      </c>
      <c r="C20" s="3">
        <v>2.0</v>
      </c>
      <c r="D20" s="2" t="s">
        <v>144</v>
      </c>
      <c r="E20" s="2" t="s">
        <v>145</v>
      </c>
      <c r="F20" s="3">
        <v>0.0</v>
      </c>
      <c r="G20" s="3">
        <v>0.0</v>
      </c>
      <c r="H20" s="3" t="b">
        <v>1</v>
      </c>
      <c r="I20" s="3">
        <v>24.595308</v>
      </c>
    </row>
    <row r="21">
      <c r="A21" s="2" t="s">
        <v>25</v>
      </c>
      <c r="B21" s="2" t="s">
        <v>127</v>
      </c>
      <c r="C21" s="3">
        <v>3.0</v>
      </c>
      <c r="D21" s="2" t="s">
        <v>146</v>
      </c>
      <c r="E21" s="2" t="s">
        <v>147</v>
      </c>
      <c r="F21" s="3">
        <v>2278.0</v>
      </c>
      <c r="G21" s="3">
        <v>2280.0</v>
      </c>
      <c r="H21" s="3" t="b">
        <v>0</v>
      </c>
      <c r="I21" s="3">
        <v>186.078953</v>
      </c>
    </row>
    <row r="22">
      <c r="A22" s="2" t="s">
        <v>112</v>
      </c>
      <c r="B22" s="2" t="s">
        <v>127</v>
      </c>
      <c r="C22" s="3">
        <v>0.0</v>
      </c>
      <c r="D22" s="2" t="s">
        <v>140</v>
      </c>
      <c r="E22" s="2" t="s">
        <v>141</v>
      </c>
      <c r="F22" s="3">
        <v>4.0</v>
      </c>
      <c r="G22" s="3">
        <v>5.0</v>
      </c>
      <c r="H22" s="3" t="b">
        <v>0</v>
      </c>
      <c r="I22" s="3">
        <v>36.18283</v>
      </c>
    </row>
    <row r="23">
      <c r="A23" s="2" t="s">
        <v>112</v>
      </c>
      <c r="B23" s="2" t="s">
        <v>127</v>
      </c>
      <c r="C23" s="3">
        <v>1.0</v>
      </c>
      <c r="D23" s="2" t="s">
        <v>142</v>
      </c>
      <c r="E23" s="2" t="s">
        <v>143</v>
      </c>
      <c r="F23" s="3">
        <v>16.0</v>
      </c>
      <c r="G23" s="3">
        <v>14.0</v>
      </c>
      <c r="H23" s="3" t="b">
        <v>0</v>
      </c>
      <c r="I23" s="3">
        <v>79.634214</v>
      </c>
    </row>
    <row r="24">
      <c r="A24" s="2" t="s">
        <v>112</v>
      </c>
      <c r="B24" s="2" t="s">
        <v>127</v>
      </c>
      <c r="C24" s="3">
        <v>2.0</v>
      </c>
      <c r="D24" s="2" t="s">
        <v>144</v>
      </c>
      <c r="E24" s="2" t="s">
        <v>145</v>
      </c>
      <c r="F24" s="3">
        <v>2.0</v>
      </c>
      <c r="G24" s="3">
        <v>0.0</v>
      </c>
      <c r="H24" s="3" t="b">
        <v>0</v>
      </c>
      <c r="I24" s="3">
        <v>31.121677</v>
      </c>
    </row>
    <row r="25">
      <c r="A25" s="2" t="s">
        <v>112</v>
      </c>
      <c r="B25" s="2" t="s">
        <v>127</v>
      </c>
      <c r="C25" s="3">
        <v>3.0</v>
      </c>
      <c r="D25" s="2" t="s">
        <v>146</v>
      </c>
      <c r="E25" s="2" t="s">
        <v>147</v>
      </c>
      <c r="F25" s="3">
        <v>2280.0</v>
      </c>
      <c r="G25" s="3">
        <v>2280.0</v>
      </c>
      <c r="H25" s="3" t="b">
        <v>1</v>
      </c>
      <c r="I25" s="3">
        <v>126.354304</v>
      </c>
    </row>
    <row r="26">
      <c r="A26" s="2" t="s">
        <v>20</v>
      </c>
      <c r="B26" s="2" t="s">
        <v>127</v>
      </c>
      <c r="C26" s="3">
        <v>0.0</v>
      </c>
      <c r="D26" s="2" t="s">
        <v>140</v>
      </c>
      <c r="E26" s="2" t="s">
        <v>141</v>
      </c>
      <c r="F26" s="3">
        <v>5.0</v>
      </c>
      <c r="G26" s="3">
        <v>5.0</v>
      </c>
      <c r="H26" s="3" t="b">
        <v>1</v>
      </c>
      <c r="I26" s="3">
        <v>39.316517</v>
      </c>
    </row>
    <row r="27">
      <c r="A27" s="2" t="s">
        <v>20</v>
      </c>
      <c r="B27" s="2" t="s">
        <v>127</v>
      </c>
      <c r="C27" s="3">
        <v>1.0</v>
      </c>
      <c r="D27" s="2" t="s">
        <v>142</v>
      </c>
      <c r="E27" s="2" t="s">
        <v>143</v>
      </c>
      <c r="F27" s="3">
        <v>14.0</v>
      </c>
      <c r="G27" s="3">
        <v>14.0</v>
      </c>
      <c r="H27" s="3" t="b">
        <v>1</v>
      </c>
      <c r="I27" s="3">
        <v>22.600158</v>
      </c>
    </row>
    <row r="28">
      <c r="A28" s="2" t="s">
        <v>20</v>
      </c>
      <c r="B28" s="2" t="s">
        <v>127</v>
      </c>
      <c r="C28" s="3">
        <v>2.0</v>
      </c>
      <c r="D28" s="2" t="s">
        <v>144</v>
      </c>
      <c r="E28" s="2" t="s">
        <v>145</v>
      </c>
      <c r="F28" s="3">
        <v>0.0</v>
      </c>
      <c r="G28" s="3">
        <v>0.0</v>
      </c>
      <c r="H28" s="3" t="b">
        <v>1</v>
      </c>
      <c r="I28" s="3">
        <v>20.47513</v>
      </c>
    </row>
    <row r="29">
      <c r="A29" s="2" t="s">
        <v>20</v>
      </c>
      <c r="B29" s="2" t="s">
        <v>127</v>
      </c>
      <c r="C29" s="3">
        <v>3.0</v>
      </c>
      <c r="D29" s="2" t="s">
        <v>146</v>
      </c>
      <c r="E29" s="2" t="s">
        <v>148</v>
      </c>
      <c r="F29" s="3">
        <v>2180.0</v>
      </c>
      <c r="G29" s="3">
        <v>2180.0</v>
      </c>
      <c r="H29" s="3" t="b">
        <v>1</v>
      </c>
      <c r="I29" s="3">
        <v>41.068302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134</v>
      </c>
      <c r="C1" s="2" t="s">
        <v>120</v>
      </c>
      <c r="D1" s="2" t="s">
        <v>121</v>
      </c>
      <c r="E1" s="2" t="s">
        <v>122</v>
      </c>
      <c r="F1" s="2" t="s">
        <v>123</v>
      </c>
      <c r="G1" s="2"/>
      <c r="H1" s="2" t="s">
        <v>124</v>
      </c>
      <c r="I1" s="2" t="s">
        <v>31</v>
      </c>
      <c r="J1" s="2" t="s">
        <v>135</v>
      </c>
      <c r="K1" s="2" t="s">
        <v>126</v>
      </c>
      <c r="N1" s="2" t="s">
        <v>149</v>
      </c>
      <c r="O1" s="7" t="s">
        <v>150</v>
      </c>
    </row>
    <row r="2">
      <c r="A2" s="2" t="s">
        <v>13</v>
      </c>
      <c r="B2" s="2" t="s">
        <v>127</v>
      </c>
      <c r="C2" s="3">
        <v>1.0</v>
      </c>
      <c r="D2" s="3">
        <v>540.0</v>
      </c>
      <c r="E2" s="3">
        <v>4.0</v>
      </c>
      <c r="F2" s="2" t="s">
        <v>128</v>
      </c>
      <c r="G2" s="3" t="b">
        <f t="shared" ref="G2:G17" si="1">EQ(F2,"Accept")</f>
        <v>0</v>
      </c>
      <c r="H2" s="3">
        <v>540.0</v>
      </c>
      <c r="I2" s="3">
        <v>175.12876534461975</v>
      </c>
      <c r="J2" s="3">
        <v>1.0</v>
      </c>
      <c r="K2" s="2" t="s">
        <v>129</v>
      </c>
      <c r="N2" s="8" t="b">
        <f t="shared" ref="N2:N17" si="2">EQ(H2,D2)</f>
        <v>1</v>
      </c>
      <c r="O2" s="9" t="b">
        <f t="shared" ref="O2:O17" si="3">EQ(G2,N2)</f>
        <v>0</v>
      </c>
    </row>
    <row r="3">
      <c r="A3" s="2" t="s">
        <v>13</v>
      </c>
      <c r="B3" s="2" t="s">
        <v>127</v>
      </c>
      <c r="C3" s="3">
        <v>2.0</v>
      </c>
      <c r="D3" s="3">
        <v>12.0</v>
      </c>
      <c r="E3" s="3">
        <v>2.0</v>
      </c>
      <c r="F3" s="2" t="s">
        <v>130</v>
      </c>
      <c r="G3" s="3" t="b">
        <f t="shared" si="1"/>
        <v>1</v>
      </c>
      <c r="H3" s="3">
        <v>13.0</v>
      </c>
      <c r="I3" s="3">
        <v>84.91455793380737</v>
      </c>
      <c r="J3" s="3">
        <v>2.0</v>
      </c>
      <c r="K3" s="2" t="s">
        <v>129</v>
      </c>
      <c r="N3" s="8" t="b">
        <f t="shared" si="2"/>
        <v>0</v>
      </c>
      <c r="O3" s="9" t="b">
        <f t="shared" si="3"/>
        <v>0</v>
      </c>
    </row>
    <row r="4">
      <c r="A4" s="2" t="s">
        <v>13</v>
      </c>
      <c r="B4" s="2" t="s">
        <v>127</v>
      </c>
      <c r="C4" s="3">
        <v>3.0</v>
      </c>
      <c r="D4" s="3">
        <v>10541.52</v>
      </c>
      <c r="E4" s="3">
        <v>3.0</v>
      </c>
      <c r="F4" s="2" t="s">
        <v>128</v>
      </c>
      <c r="G4" s="3" t="b">
        <f t="shared" si="1"/>
        <v>0</v>
      </c>
      <c r="H4" s="3">
        <v>9360.0</v>
      </c>
      <c r="I4" s="3">
        <v>92.42579817771912</v>
      </c>
      <c r="J4" s="3">
        <v>3.0</v>
      </c>
      <c r="K4" s="2" t="s">
        <v>129</v>
      </c>
      <c r="N4" s="8" t="b">
        <f t="shared" si="2"/>
        <v>0</v>
      </c>
      <c r="O4" s="9" t="b">
        <f t="shared" si="3"/>
        <v>1</v>
      </c>
    </row>
    <row r="5">
      <c r="A5" s="2" t="s">
        <v>13</v>
      </c>
      <c r="B5" s="2" t="s">
        <v>127</v>
      </c>
      <c r="C5" s="3">
        <v>4.0</v>
      </c>
      <c r="D5" s="3">
        <v>15.0</v>
      </c>
      <c r="E5" s="3">
        <v>2.0</v>
      </c>
      <c r="F5" s="2" t="s">
        <v>130</v>
      </c>
      <c r="G5" s="3" t="b">
        <f t="shared" si="1"/>
        <v>1</v>
      </c>
      <c r="H5" s="3">
        <v>15.0</v>
      </c>
      <c r="I5" s="3">
        <v>66.7067506313324</v>
      </c>
      <c r="J5" s="3">
        <v>4.0</v>
      </c>
      <c r="K5" s="2" t="s">
        <v>129</v>
      </c>
      <c r="N5" s="8" t="b">
        <f t="shared" si="2"/>
        <v>1</v>
      </c>
      <c r="O5" s="9" t="b">
        <f t="shared" si="3"/>
        <v>1</v>
      </c>
    </row>
    <row r="6">
      <c r="A6" s="2" t="s">
        <v>13</v>
      </c>
      <c r="B6" s="2" t="s">
        <v>127</v>
      </c>
      <c r="C6" s="3">
        <v>29.0</v>
      </c>
      <c r="D6" s="3">
        <v>1.0</v>
      </c>
      <c r="E6" s="3">
        <v>3.0</v>
      </c>
      <c r="F6" s="2" t="s">
        <v>128</v>
      </c>
      <c r="G6" s="3" t="b">
        <f t="shared" si="1"/>
        <v>0</v>
      </c>
      <c r="H6" s="3">
        <v>0.0</v>
      </c>
      <c r="I6" s="3">
        <v>255.89820766448975</v>
      </c>
      <c r="J6" s="3">
        <v>5.0</v>
      </c>
      <c r="K6" s="2" t="s">
        <v>129</v>
      </c>
      <c r="N6" s="8" t="b">
        <f t="shared" si="2"/>
        <v>0</v>
      </c>
      <c r="O6" s="9" t="b">
        <f t="shared" si="3"/>
        <v>1</v>
      </c>
    </row>
    <row r="7">
      <c r="A7" s="2" t="s">
        <v>13</v>
      </c>
      <c r="B7" s="2" t="s">
        <v>127</v>
      </c>
      <c r="C7" s="3">
        <v>35.0</v>
      </c>
      <c r="D7" s="3">
        <v>50.0</v>
      </c>
      <c r="E7" s="3">
        <v>4.0</v>
      </c>
      <c r="F7" s="2" t="s">
        <v>130</v>
      </c>
      <c r="G7" s="3" t="b">
        <f t="shared" si="1"/>
        <v>1</v>
      </c>
      <c r="H7" s="3">
        <v>50.0</v>
      </c>
      <c r="I7" s="3">
        <v>182.99751710891724</v>
      </c>
      <c r="J7" s="3">
        <v>6.0</v>
      </c>
      <c r="K7" s="2" t="s">
        <v>129</v>
      </c>
      <c r="N7" s="8" t="b">
        <f t="shared" si="2"/>
        <v>1</v>
      </c>
      <c r="O7" s="9" t="b">
        <f t="shared" si="3"/>
        <v>1</v>
      </c>
    </row>
    <row r="8">
      <c r="A8" s="2" t="s">
        <v>13</v>
      </c>
      <c r="B8" s="2" t="s">
        <v>127</v>
      </c>
      <c r="C8" s="3">
        <v>32.0</v>
      </c>
      <c r="D8" s="3">
        <v>105.0</v>
      </c>
      <c r="E8" s="3">
        <v>3.0</v>
      </c>
      <c r="F8" s="2" t="s">
        <v>128</v>
      </c>
      <c r="G8" s="3" t="b">
        <f t="shared" si="1"/>
        <v>0</v>
      </c>
      <c r="H8" s="3">
        <v>91.0</v>
      </c>
      <c r="I8" s="3">
        <v>96.64996981620789</v>
      </c>
      <c r="J8" s="3">
        <v>7.0</v>
      </c>
      <c r="K8" s="2" t="s">
        <v>129</v>
      </c>
      <c r="N8" s="8" t="b">
        <f t="shared" si="2"/>
        <v>0</v>
      </c>
      <c r="O8" s="9" t="b">
        <f t="shared" si="3"/>
        <v>1</v>
      </c>
    </row>
    <row r="9">
      <c r="A9" s="2" t="s">
        <v>13</v>
      </c>
      <c r="B9" s="2" t="s">
        <v>127</v>
      </c>
      <c r="C9" s="3">
        <v>18.0</v>
      </c>
      <c r="D9" s="3">
        <v>120.0</v>
      </c>
      <c r="E9" s="3">
        <v>4.0</v>
      </c>
      <c r="F9" s="2" t="s">
        <v>128</v>
      </c>
      <c r="G9" s="3" t="b">
        <f t="shared" si="1"/>
        <v>0</v>
      </c>
      <c r="H9" s="3">
        <v>160.0</v>
      </c>
      <c r="I9" s="3">
        <v>85.43823313713074</v>
      </c>
      <c r="J9" s="3">
        <v>8.0</v>
      </c>
      <c r="K9" s="2" t="s">
        <v>129</v>
      </c>
      <c r="N9" s="8" t="b">
        <f t="shared" si="2"/>
        <v>0</v>
      </c>
      <c r="O9" s="9" t="b">
        <f t="shared" si="3"/>
        <v>1</v>
      </c>
    </row>
    <row r="10">
      <c r="A10" s="2" t="s">
        <v>13</v>
      </c>
      <c r="B10" s="2" t="s">
        <v>127</v>
      </c>
      <c r="C10" s="3">
        <v>28.0</v>
      </c>
      <c r="D10" s="3">
        <v>90.0</v>
      </c>
      <c r="E10" s="3">
        <v>4.0</v>
      </c>
      <c r="F10" s="2" t="s">
        <v>130</v>
      </c>
      <c r="G10" s="3" t="b">
        <f t="shared" si="1"/>
        <v>1</v>
      </c>
      <c r="H10" s="3">
        <v>90.0</v>
      </c>
      <c r="I10" s="3">
        <v>83.01126742362976</v>
      </c>
      <c r="J10" s="3">
        <v>9.0</v>
      </c>
      <c r="K10" s="2" t="s">
        <v>129</v>
      </c>
      <c r="N10" s="8" t="b">
        <f t="shared" si="2"/>
        <v>1</v>
      </c>
      <c r="O10" s="9" t="b">
        <f t="shared" si="3"/>
        <v>1</v>
      </c>
    </row>
    <row r="11">
      <c r="A11" s="2" t="s">
        <v>13</v>
      </c>
      <c r="B11" s="2" t="s">
        <v>127</v>
      </c>
      <c r="C11" s="3">
        <v>15.0</v>
      </c>
      <c r="D11" s="3">
        <v>10.0</v>
      </c>
      <c r="E11" s="3">
        <v>2.0</v>
      </c>
      <c r="F11" s="2" t="s">
        <v>130</v>
      </c>
      <c r="G11" s="3" t="b">
        <f t="shared" si="1"/>
        <v>1</v>
      </c>
      <c r="H11" s="3">
        <v>10.0</v>
      </c>
      <c r="I11" s="3">
        <v>120.5859808921814</v>
      </c>
      <c r="J11" s="3">
        <v>10.0</v>
      </c>
      <c r="K11" s="2" t="s">
        <v>129</v>
      </c>
      <c r="N11" s="8" t="b">
        <f t="shared" si="2"/>
        <v>1</v>
      </c>
      <c r="O11" s="9" t="b">
        <f t="shared" si="3"/>
        <v>1</v>
      </c>
    </row>
    <row r="12">
      <c r="A12" s="2" t="s">
        <v>13</v>
      </c>
      <c r="B12" s="2" t="s">
        <v>127</v>
      </c>
      <c r="C12" s="3">
        <v>7.0</v>
      </c>
      <c r="D12" s="3">
        <v>835.0</v>
      </c>
      <c r="E12" s="3">
        <v>4.0</v>
      </c>
      <c r="F12" s="2" t="s">
        <v>130</v>
      </c>
      <c r="G12" s="3" t="b">
        <f t="shared" si="1"/>
        <v>1</v>
      </c>
      <c r="H12" s="3">
        <v>835.0</v>
      </c>
      <c r="I12" s="3">
        <v>130.0830557346344</v>
      </c>
      <c r="J12" s="3">
        <v>11.0</v>
      </c>
      <c r="K12" s="2" t="s">
        <v>129</v>
      </c>
      <c r="N12" s="8" t="b">
        <f t="shared" si="2"/>
        <v>1</v>
      </c>
      <c r="O12" s="9" t="b">
        <f t="shared" si="3"/>
        <v>1</v>
      </c>
    </row>
    <row r="13">
      <c r="A13" s="2" t="s">
        <v>13</v>
      </c>
      <c r="B13" s="2" t="s">
        <v>127</v>
      </c>
      <c r="C13" s="3">
        <v>9.0</v>
      </c>
      <c r="D13" s="3">
        <v>35.0</v>
      </c>
      <c r="E13" s="3">
        <v>4.0</v>
      </c>
      <c r="F13" s="2" t="s">
        <v>130</v>
      </c>
      <c r="G13" s="3" t="b">
        <f t="shared" si="1"/>
        <v>1</v>
      </c>
      <c r="H13" s="3">
        <v>35.0</v>
      </c>
      <c r="I13" s="3">
        <v>110.40724921226501</v>
      </c>
      <c r="J13" s="3">
        <v>12.0</v>
      </c>
      <c r="K13" s="2" t="s">
        <v>129</v>
      </c>
      <c r="N13" s="8" t="b">
        <f t="shared" si="2"/>
        <v>1</v>
      </c>
      <c r="O13" s="9" t="b">
        <f t="shared" si="3"/>
        <v>1</v>
      </c>
    </row>
    <row r="14">
      <c r="A14" s="2" t="s">
        <v>13</v>
      </c>
      <c r="B14" s="2" t="s">
        <v>127</v>
      </c>
      <c r="C14" s="3">
        <v>12.0</v>
      </c>
      <c r="D14" s="3">
        <v>28.0</v>
      </c>
      <c r="E14" s="3">
        <v>4.0</v>
      </c>
      <c r="F14" s="2" t="s">
        <v>128</v>
      </c>
      <c r="G14" s="3" t="b">
        <f t="shared" si="1"/>
        <v>0</v>
      </c>
      <c r="H14" s="3">
        <v>26.0</v>
      </c>
      <c r="I14" s="3">
        <v>46.30409264564514</v>
      </c>
      <c r="J14" s="3">
        <v>13.0</v>
      </c>
      <c r="K14" s="2" t="s">
        <v>129</v>
      </c>
      <c r="N14" s="8" t="b">
        <f t="shared" si="2"/>
        <v>0</v>
      </c>
      <c r="O14" s="9" t="b">
        <f t="shared" si="3"/>
        <v>1</v>
      </c>
    </row>
    <row r="15">
      <c r="A15" s="2" t="s">
        <v>13</v>
      </c>
      <c r="B15" s="2" t="s">
        <v>127</v>
      </c>
      <c r="C15" s="3">
        <v>27.0</v>
      </c>
      <c r="D15" s="3">
        <v>1244160.0</v>
      </c>
      <c r="E15" s="3">
        <v>2.0</v>
      </c>
      <c r="F15" s="2" t="s">
        <v>128</v>
      </c>
      <c r="G15" s="3" t="b">
        <f t="shared" si="1"/>
        <v>0</v>
      </c>
      <c r="H15" s="3">
        <v>1.24416E7</v>
      </c>
      <c r="I15" s="3">
        <v>142.92945265769958</v>
      </c>
      <c r="J15" s="3">
        <v>14.0</v>
      </c>
      <c r="K15" s="2" t="s">
        <v>129</v>
      </c>
      <c r="N15" s="8" t="b">
        <f t="shared" si="2"/>
        <v>0</v>
      </c>
      <c r="O15" s="9" t="b">
        <f t="shared" si="3"/>
        <v>1</v>
      </c>
    </row>
    <row r="16">
      <c r="A16" s="2" t="s">
        <v>13</v>
      </c>
      <c r="B16" s="2" t="s">
        <v>127</v>
      </c>
      <c r="C16" s="3">
        <v>25.0</v>
      </c>
      <c r="D16" s="3">
        <v>1430.0</v>
      </c>
      <c r="E16" s="3">
        <v>1.0</v>
      </c>
      <c r="F16" s="2" t="s">
        <v>130</v>
      </c>
      <c r="G16" s="3" t="b">
        <f t="shared" si="1"/>
        <v>1</v>
      </c>
      <c r="H16" s="3">
        <v>1430.0</v>
      </c>
      <c r="I16" s="3">
        <v>45.95092487335205</v>
      </c>
      <c r="J16" s="3">
        <v>15.0</v>
      </c>
      <c r="K16" s="2" t="s">
        <v>129</v>
      </c>
      <c r="N16" s="8" t="b">
        <f t="shared" si="2"/>
        <v>1</v>
      </c>
      <c r="O16" s="9" t="b">
        <f t="shared" si="3"/>
        <v>1</v>
      </c>
    </row>
    <row r="17">
      <c r="A17" s="2" t="s">
        <v>13</v>
      </c>
      <c r="B17" s="2" t="s">
        <v>127</v>
      </c>
      <c r="C17" s="3">
        <v>19.0</v>
      </c>
      <c r="D17" s="3">
        <v>2.0</v>
      </c>
      <c r="E17" s="3">
        <v>2.0</v>
      </c>
      <c r="F17" s="2" t="s">
        <v>128</v>
      </c>
      <c r="G17" s="3" t="b">
        <f t="shared" si="1"/>
        <v>0</v>
      </c>
      <c r="H17" s="3">
        <v>3.0</v>
      </c>
      <c r="I17" s="3">
        <v>104.9053385257721</v>
      </c>
      <c r="J17" s="3">
        <v>16.0</v>
      </c>
      <c r="K17" s="2" t="s">
        <v>129</v>
      </c>
      <c r="N17" s="8" t="b">
        <f t="shared" si="2"/>
        <v>0</v>
      </c>
      <c r="O17" s="9" t="b">
        <f t="shared" si="3"/>
        <v>1</v>
      </c>
    </row>
    <row r="18">
      <c r="O18" s="9"/>
    </row>
    <row r="19">
      <c r="O19" s="9"/>
    </row>
    <row r="20">
      <c r="O20" s="9"/>
    </row>
    <row r="21">
      <c r="O21" s="9"/>
    </row>
    <row r="22">
      <c r="O22" s="9"/>
    </row>
    <row r="23">
      <c r="O23" s="9"/>
    </row>
    <row r="24">
      <c r="O24" s="9"/>
    </row>
    <row r="25">
      <c r="O25" s="9"/>
    </row>
    <row r="26">
      <c r="O26" s="9"/>
    </row>
    <row r="27">
      <c r="O27" s="9"/>
    </row>
    <row r="28">
      <c r="O28" s="9"/>
    </row>
    <row r="29">
      <c r="O29" s="9"/>
    </row>
    <row r="30">
      <c r="O30" s="9"/>
    </row>
    <row r="31">
      <c r="O31" s="9"/>
    </row>
    <row r="32">
      <c r="O32" s="9"/>
    </row>
    <row r="33">
      <c r="O33" s="9"/>
    </row>
    <row r="34">
      <c r="O34" s="9"/>
    </row>
    <row r="35">
      <c r="O35" s="9"/>
    </row>
    <row r="36">
      <c r="O36" s="9"/>
    </row>
    <row r="37">
      <c r="O37" s="9"/>
    </row>
    <row r="38">
      <c r="O38" s="9"/>
    </row>
    <row r="39">
      <c r="O39" s="9"/>
    </row>
    <row r="40">
      <c r="O40" s="9"/>
    </row>
    <row r="41">
      <c r="O41" s="9"/>
    </row>
    <row r="42">
      <c r="O42" s="9"/>
    </row>
    <row r="43">
      <c r="O43" s="9"/>
    </row>
    <row r="44">
      <c r="O44" s="9"/>
    </row>
    <row r="45">
      <c r="O45" s="9"/>
    </row>
    <row r="46">
      <c r="O46" s="9"/>
    </row>
    <row r="47">
      <c r="O47" s="9"/>
    </row>
    <row r="48">
      <c r="O48" s="9"/>
    </row>
    <row r="49">
      <c r="O49" s="9"/>
    </row>
    <row r="50">
      <c r="O50" s="9"/>
    </row>
    <row r="51">
      <c r="O51" s="9"/>
    </row>
    <row r="52">
      <c r="O52" s="9"/>
    </row>
    <row r="53">
      <c r="O53" s="9"/>
    </row>
    <row r="54">
      <c r="O54" s="9"/>
    </row>
    <row r="55">
      <c r="O55" s="9"/>
    </row>
    <row r="56">
      <c r="O56" s="9"/>
    </row>
    <row r="57">
      <c r="O57" s="9"/>
    </row>
    <row r="58">
      <c r="O58" s="9"/>
    </row>
    <row r="59">
      <c r="O59" s="9"/>
    </row>
    <row r="60">
      <c r="O60" s="9"/>
    </row>
    <row r="61">
      <c r="O61" s="9"/>
    </row>
    <row r="62">
      <c r="O62" s="9"/>
    </row>
    <row r="63">
      <c r="O63" s="9"/>
    </row>
    <row r="64">
      <c r="O64" s="9"/>
    </row>
    <row r="65">
      <c r="O65" s="9"/>
    </row>
    <row r="66">
      <c r="O66" s="9"/>
    </row>
    <row r="67">
      <c r="O67" s="9"/>
    </row>
    <row r="68">
      <c r="O68" s="9"/>
    </row>
    <row r="69">
      <c r="O69" s="9"/>
    </row>
    <row r="70">
      <c r="O70" s="9"/>
    </row>
    <row r="71">
      <c r="O71" s="9"/>
    </row>
    <row r="72">
      <c r="O72" s="9"/>
    </row>
    <row r="73">
      <c r="O73" s="9"/>
    </row>
    <row r="74">
      <c r="O74" s="9"/>
    </row>
    <row r="75">
      <c r="O75" s="9"/>
    </row>
    <row r="76">
      <c r="O76" s="9"/>
    </row>
    <row r="77">
      <c r="O77" s="9"/>
    </row>
    <row r="78">
      <c r="O78" s="9"/>
    </row>
    <row r="79">
      <c r="O79" s="9"/>
    </row>
    <row r="80">
      <c r="O80" s="9"/>
    </row>
    <row r="81">
      <c r="O81" s="9"/>
    </row>
    <row r="82">
      <c r="O82" s="9"/>
    </row>
    <row r="83">
      <c r="O83" s="9"/>
    </row>
    <row r="84">
      <c r="O84" s="9"/>
    </row>
    <row r="85">
      <c r="O85" s="9"/>
    </row>
    <row r="86">
      <c r="O86" s="9"/>
    </row>
    <row r="87">
      <c r="O87" s="9"/>
    </row>
    <row r="88">
      <c r="O88" s="9"/>
    </row>
    <row r="89">
      <c r="O89" s="9"/>
    </row>
    <row r="90">
      <c r="O90" s="9"/>
    </row>
    <row r="91">
      <c r="O91" s="9"/>
    </row>
    <row r="92">
      <c r="O92" s="9"/>
    </row>
    <row r="93">
      <c r="O93" s="9"/>
    </row>
    <row r="94">
      <c r="O94" s="9"/>
    </row>
    <row r="95">
      <c r="O95" s="9"/>
    </row>
    <row r="96">
      <c r="O96" s="9"/>
    </row>
    <row r="97">
      <c r="O97" s="9"/>
    </row>
    <row r="98">
      <c r="O98" s="9"/>
    </row>
    <row r="99">
      <c r="O99" s="9"/>
    </row>
    <row r="100">
      <c r="O100" s="9"/>
    </row>
  </sheetData>
  <autoFilter ref="$N$1:$P$17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134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31</v>
      </c>
      <c r="I1" s="2" t="s">
        <v>135</v>
      </c>
      <c r="J1" s="2" t="s">
        <v>126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134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31</v>
      </c>
      <c r="I1" s="2" t="s">
        <v>135</v>
      </c>
      <c r="J1" s="2" t="s">
        <v>126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134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31</v>
      </c>
      <c r="I1" s="2" t="s">
        <v>135</v>
      </c>
      <c r="J1" s="2" t="s">
        <v>126</v>
      </c>
    </row>
    <row r="2">
      <c r="A2" s="2" t="s">
        <v>17</v>
      </c>
      <c r="B2" s="2" t="s">
        <v>127</v>
      </c>
      <c r="C2" s="3">
        <v>1.0</v>
      </c>
      <c r="D2" s="3">
        <v>540.0</v>
      </c>
      <c r="E2" s="3">
        <v>3.0</v>
      </c>
      <c r="F2" s="2" t="s">
        <v>128</v>
      </c>
      <c r="G2" s="3">
        <v>540.0</v>
      </c>
      <c r="H2" s="3">
        <v>178.65495204925537</v>
      </c>
      <c r="I2" s="3">
        <v>1.0</v>
      </c>
      <c r="J2" s="2" t="s">
        <v>131</v>
      </c>
    </row>
    <row r="3">
      <c r="A3" s="2" t="s">
        <v>17</v>
      </c>
      <c r="B3" s="2" t="s">
        <v>127</v>
      </c>
      <c r="C3" s="3">
        <v>2.0</v>
      </c>
      <c r="D3" s="3">
        <v>12.0</v>
      </c>
      <c r="E3" s="3">
        <v>3.0</v>
      </c>
      <c r="F3" s="2" t="s">
        <v>128</v>
      </c>
      <c r="G3" s="3">
        <v>13.0</v>
      </c>
      <c r="H3" s="3">
        <v>46.47865104675293</v>
      </c>
      <c r="I3" s="3">
        <v>2.0</v>
      </c>
      <c r="J3" s="2" t="s">
        <v>131</v>
      </c>
    </row>
    <row r="4">
      <c r="A4" s="2" t="s">
        <v>17</v>
      </c>
      <c r="B4" s="2" t="s">
        <v>127</v>
      </c>
      <c r="C4" s="3">
        <v>3.0</v>
      </c>
      <c r="D4" s="3">
        <v>10541.52</v>
      </c>
      <c r="E4" s="3">
        <v>3.0</v>
      </c>
      <c r="F4" s="2" t="s">
        <v>128</v>
      </c>
      <c r="G4" s="3">
        <v>9360.0</v>
      </c>
      <c r="H4" s="3">
        <v>61.2333402633667</v>
      </c>
      <c r="I4" s="3">
        <v>3.0</v>
      </c>
      <c r="J4" s="2" t="s">
        <v>131</v>
      </c>
    </row>
    <row r="5">
      <c r="A5" s="2" t="s">
        <v>17</v>
      </c>
      <c r="B5" s="2" t="s">
        <v>127</v>
      </c>
      <c r="C5" s="3">
        <v>4.0</v>
      </c>
      <c r="D5" s="3">
        <v>15.0</v>
      </c>
      <c r="E5" s="3">
        <v>3.0</v>
      </c>
      <c r="F5" s="2" t="s">
        <v>130</v>
      </c>
      <c r="G5" s="3">
        <v>15.0</v>
      </c>
      <c r="H5" s="3">
        <v>49.98689556121826</v>
      </c>
      <c r="I5" s="3">
        <v>4.0</v>
      </c>
      <c r="J5" s="2" t="s">
        <v>131</v>
      </c>
    </row>
    <row r="6">
      <c r="A6" s="2" t="s">
        <v>17</v>
      </c>
      <c r="B6" s="2" t="s">
        <v>127</v>
      </c>
      <c r="C6" s="3">
        <v>28.0</v>
      </c>
      <c r="D6" s="3">
        <v>90.0</v>
      </c>
      <c r="E6" s="3">
        <v>3.0</v>
      </c>
      <c r="F6" s="2" t="s">
        <v>130</v>
      </c>
      <c r="G6" s="3">
        <v>90.0</v>
      </c>
      <c r="H6" s="3">
        <v>90.5948486328125</v>
      </c>
      <c r="I6" s="3">
        <v>5.0</v>
      </c>
      <c r="J6" s="2" t="s">
        <v>131</v>
      </c>
    </row>
    <row r="7">
      <c r="A7" s="2" t="s">
        <v>17</v>
      </c>
      <c r="B7" s="2" t="s">
        <v>127</v>
      </c>
      <c r="C7" s="3">
        <v>9.0</v>
      </c>
      <c r="D7" s="3">
        <v>35.0</v>
      </c>
      <c r="E7" s="3">
        <v>3.0</v>
      </c>
      <c r="F7" s="2" t="s">
        <v>130</v>
      </c>
      <c r="G7" s="3">
        <v>35.0</v>
      </c>
      <c r="H7" s="3">
        <v>58.97955536842346</v>
      </c>
      <c r="I7" s="3">
        <v>6.0</v>
      </c>
      <c r="J7" s="2" t="s">
        <v>131</v>
      </c>
    </row>
    <row r="8">
      <c r="A8" s="2" t="s">
        <v>17</v>
      </c>
      <c r="B8" s="2" t="s">
        <v>127</v>
      </c>
      <c r="C8" s="3">
        <v>20.0</v>
      </c>
      <c r="D8" s="3">
        <v>27.0</v>
      </c>
      <c r="E8" s="3">
        <v>3.0</v>
      </c>
      <c r="F8" s="2" t="s">
        <v>128</v>
      </c>
      <c r="G8" s="3">
        <v>98.0</v>
      </c>
      <c r="H8" s="3">
        <v>43.38880896568298</v>
      </c>
      <c r="I8" s="3">
        <v>7.0</v>
      </c>
      <c r="J8" s="2" t="s">
        <v>131</v>
      </c>
    </row>
    <row r="9">
      <c r="A9" s="2" t="s">
        <v>17</v>
      </c>
      <c r="B9" s="2" t="s">
        <v>127</v>
      </c>
      <c r="C9" s="3">
        <v>11.0</v>
      </c>
      <c r="D9" s="3">
        <v>24.0</v>
      </c>
      <c r="E9" s="3">
        <v>3.0</v>
      </c>
      <c r="F9" s="2" t="s">
        <v>128</v>
      </c>
      <c r="G9" s="3">
        <v>26.0</v>
      </c>
      <c r="H9" s="3">
        <v>48.97406768798828</v>
      </c>
      <c r="I9" s="3">
        <v>8.0</v>
      </c>
      <c r="J9" s="2" t="s">
        <v>131</v>
      </c>
    </row>
    <row r="10">
      <c r="A10" s="2" t="s">
        <v>17</v>
      </c>
      <c r="B10" s="2" t="s">
        <v>127</v>
      </c>
      <c r="C10" s="3">
        <v>19.0</v>
      </c>
      <c r="D10" s="3">
        <v>2.0</v>
      </c>
      <c r="E10" s="3">
        <v>3.0</v>
      </c>
      <c r="F10" s="2" t="s">
        <v>128</v>
      </c>
      <c r="G10" s="3">
        <v>3.0</v>
      </c>
      <c r="H10" s="3">
        <v>49.138113021850586</v>
      </c>
      <c r="I10" s="3">
        <v>9.0</v>
      </c>
      <c r="J10" s="2" t="s">
        <v>131</v>
      </c>
    </row>
    <row r="11">
      <c r="A11" s="2" t="s">
        <v>17</v>
      </c>
      <c r="B11" s="2" t="s">
        <v>127</v>
      </c>
      <c r="C11" s="3">
        <v>27.0</v>
      </c>
      <c r="D11" s="3">
        <v>1244160.0</v>
      </c>
      <c r="E11" s="3">
        <v>3.0</v>
      </c>
      <c r="F11" s="2" t="s">
        <v>128</v>
      </c>
      <c r="G11" s="3">
        <v>1.24416E7</v>
      </c>
      <c r="H11" s="3">
        <v>72.68138599395752</v>
      </c>
      <c r="I11" s="3">
        <v>10.0</v>
      </c>
      <c r="J11" s="2" t="s">
        <v>131</v>
      </c>
    </row>
    <row r="12">
      <c r="A12" s="2" t="s">
        <v>17</v>
      </c>
      <c r="B12" s="2" t="s">
        <v>127</v>
      </c>
      <c r="C12" s="3">
        <v>23.0</v>
      </c>
      <c r="D12" s="3">
        <v>98.0</v>
      </c>
      <c r="E12" s="3">
        <v>3.0</v>
      </c>
      <c r="F12" s="2" t="s">
        <v>130</v>
      </c>
      <c r="G12" s="3">
        <v>98.0</v>
      </c>
      <c r="H12" s="3">
        <v>46.386353492736816</v>
      </c>
      <c r="I12" s="3">
        <v>11.0</v>
      </c>
      <c r="J12" s="2" t="s">
        <v>131</v>
      </c>
    </row>
    <row r="13">
      <c r="A13" s="2" t="s">
        <v>17</v>
      </c>
      <c r="B13" s="2" t="s">
        <v>127</v>
      </c>
      <c r="C13" s="3">
        <v>35.0</v>
      </c>
      <c r="D13" s="3">
        <v>50.0</v>
      </c>
      <c r="E13" s="3">
        <v>3.0</v>
      </c>
      <c r="F13" s="2" t="s">
        <v>128</v>
      </c>
      <c r="G13" s="3">
        <v>50.0</v>
      </c>
      <c r="H13" s="3">
        <v>45.677531242370605</v>
      </c>
      <c r="I13" s="3">
        <v>12.0</v>
      </c>
      <c r="J13" s="2" t="s">
        <v>131</v>
      </c>
    </row>
    <row r="14">
      <c r="A14" s="2" t="s">
        <v>17</v>
      </c>
      <c r="B14" s="2" t="s">
        <v>127</v>
      </c>
      <c r="C14" s="3">
        <v>7.0</v>
      </c>
      <c r="D14" s="3">
        <v>835.0</v>
      </c>
      <c r="E14" s="3">
        <v>3.0</v>
      </c>
      <c r="F14" s="2" t="s">
        <v>130</v>
      </c>
      <c r="G14" s="3">
        <v>835.0</v>
      </c>
      <c r="H14" s="3">
        <v>62.51321053504944</v>
      </c>
      <c r="I14" s="3">
        <v>13.0</v>
      </c>
      <c r="J14" s="2" t="s">
        <v>131</v>
      </c>
    </row>
    <row r="15">
      <c r="A15" s="2" t="s">
        <v>17</v>
      </c>
      <c r="B15" s="2" t="s">
        <v>127</v>
      </c>
      <c r="C15" s="3">
        <v>17.0</v>
      </c>
      <c r="D15" s="3">
        <v>9.0</v>
      </c>
      <c r="E15" s="3">
        <v>3.0</v>
      </c>
      <c r="F15" s="2" t="s">
        <v>128</v>
      </c>
      <c r="G15" s="3">
        <v>9.0</v>
      </c>
      <c r="H15" s="3">
        <v>79.91116142272949</v>
      </c>
      <c r="I15" s="3">
        <v>14.0</v>
      </c>
      <c r="J15" s="2" t="s">
        <v>131</v>
      </c>
    </row>
    <row r="16">
      <c r="A16" s="2" t="s">
        <v>17</v>
      </c>
      <c r="B16" s="2" t="s">
        <v>127</v>
      </c>
      <c r="C16" s="3">
        <v>30.0</v>
      </c>
      <c r="D16" s="3">
        <v>10.0</v>
      </c>
      <c r="E16" s="3">
        <v>3.0</v>
      </c>
      <c r="F16" s="2" t="s">
        <v>128</v>
      </c>
      <c r="G16" s="3">
        <v>2.0</v>
      </c>
      <c r="H16" s="3">
        <v>51.01387310028076</v>
      </c>
      <c r="I16" s="3">
        <v>15.0</v>
      </c>
      <c r="J16" s="2" t="s">
        <v>131</v>
      </c>
    </row>
    <row r="17">
      <c r="A17" s="2" t="s">
        <v>17</v>
      </c>
      <c r="B17" s="2" t="s">
        <v>127</v>
      </c>
      <c r="C17" s="3">
        <v>26.0</v>
      </c>
      <c r="D17" s="3">
        <v>46.0</v>
      </c>
      <c r="E17" s="3">
        <v>3.0</v>
      </c>
      <c r="F17" s="2" t="s">
        <v>128</v>
      </c>
      <c r="G17" s="3">
        <v>47.0</v>
      </c>
      <c r="H17" s="3">
        <v>163.62273645401</v>
      </c>
      <c r="I17" s="3">
        <v>16.0</v>
      </c>
      <c r="J17" s="2" t="s">
        <v>131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134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31</v>
      </c>
      <c r="I1" s="2" t="s">
        <v>135</v>
      </c>
      <c r="J1" s="2" t="s">
        <v>126</v>
      </c>
    </row>
    <row r="2">
      <c r="A2" s="2" t="s">
        <v>25</v>
      </c>
      <c r="B2" s="2" t="s">
        <v>127</v>
      </c>
      <c r="C2" s="3">
        <v>1.0</v>
      </c>
      <c r="D2" s="3">
        <v>540.0</v>
      </c>
      <c r="E2" s="3">
        <v>3.0</v>
      </c>
      <c r="F2" s="2" t="s">
        <v>130</v>
      </c>
      <c r="G2" s="3">
        <v>540.0</v>
      </c>
      <c r="H2" s="3">
        <v>258.1660621166229</v>
      </c>
      <c r="I2" s="3">
        <v>1.0</v>
      </c>
      <c r="J2" s="2" t="s">
        <v>132</v>
      </c>
    </row>
    <row r="3">
      <c r="A3" s="2" t="s">
        <v>25</v>
      </c>
      <c r="B3" s="2" t="s">
        <v>127</v>
      </c>
      <c r="C3" s="3">
        <v>2.0</v>
      </c>
      <c r="D3" s="3">
        <v>12.0</v>
      </c>
      <c r="E3" s="3">
        <v>3.0</v>
      </c>
      <c r="F3" s="2" t="s">
        <v>130</v>
      </c>
      <c r="G3" s="3">
        <v>13.0</v>
      </c>
      <c r="H3" s="3">
        <v>68.551504611969</v>
      </c>
      <c r="I3" s="3">
        <v>2.0</v>
      </c>
      <c r="J3" s="2" t="s">
        <v>132</v>
      </c>
    </row>
    <row r="4">
      <c r="A4" s="2" t="s">
        <v>25</v>
      </c>
      <c r="B4" s="2" t="s">
        <v>127</v>
      </c>
      <c r="C4" s="3">
        <v>3.0</v>
      </c>
      <c r="D4" s="3">
        <v>10541.52</v>
      </c>
      <c r="E4" s="3">
        <v>4.0</v>
      </c>
      <c r="F4" s="2" t="s">
        <v>128</v>
      </c>
      <c r="G4" s="3">
        <v>9360.0</v>
      </c>
      <c r="H4" s="3">
        <v>243.19132113456726</v>
      </c>
      <c r="I4" s="3">
        <v>3.0</v>
      </c>
      <c r="J4" s="2" t="s">
        <v>132</v>
      </c>
    </row>
    <row r="5">
      <c r="A5" s="2" t="s">
        <v>25</v>
      </c>
      <c r="B5" s="2" t="s">
        <v>127</v>
      </c>
      <c r="C5" s="3">
        <v>4.0</v>
      </c>
      <c r="D5" s="3">
        <v>15.0</v>
      </c>
      <c r="E5" s="3">
        <v>2.0</v>
      </c>
      <c r="F5" s="2" t="s">
        <v>130</v>
      </c>
      <c r="G5" s="3">
        <v>15.0</v>
      </c>
      <c r="H5" s="3">
        <v>42.76236176490784</v>
      </c>
      <c r="I5" s="3">
        <v>4.0</v>
      </c>
      <c r="J5" s="2" t="s">
        <v>132</v>
      </c>
    </row>
    <row r="6">
      <c r="A6" s="2" t="s">
        <v>25</v>
      </c>
      <c r="B6" s="2" t="s">
        <v>127</v>
      </c>
      <c r="C6" s="3">
        <v>19.0</v>
      </c>
      <c r="D6" s="3">
        <v>2.0</v>
      </c>
      <c r="E6" s="3">
        <v>3.0</v>
      </c>
      <c r="F6" s="2" t="s">
        <v>128</v>
      </c>
      <c r="G6" s="3">
        <v>3.0</v>
      </c>
      <c r="H6" s="3">
        <v>64.56178426742554</v>
      </c>
      <c r="I6" s="3">
        <v>5.0</v>
      </c>
      <c r="J6" s="2" t="s">
        <v>132</v>
      </c>
    </row>
    <row r="7">
      <c r="A7" s="2" t="s">
        <v>25</v>
      </c>
      <c r="B7" s="2" t="s">
        <v>127</v>
      </c>
      <c r="C7" s="3">
        <v>9.0</v>
      </c>
      <c r="D7" s="3">
        <v>35.0</v>
      </c>
      <c r="E7" s="3">
        <v>3.0</v>
      </c>
      <c r="F7" s="2" t="s">
        <v>130</v>
      </c>
      <c r="G7" s="3">
        <v>35.0</v>
      </c>
      <c r="H7" s="3">
        <v>37.55914664268494</v>
      </c>
      <c r="I7" s="3">
        <v>6.0</v>
      </c>
      <c r="J7" s="2" t="s">
        <v>132</v>
      </c>
    </row>
    <row r="8">
      <c r="A8" s="2" t="s">
        <v>25</v>
      </c>
      <c r="B8" s="2" t="s">
        <v>127</v>
      </c>
      <c r="C8" s="3">
        <v>31.0</v>
      </c>
      <c r="D8" s="3">
        <v>7.5</v>
      </c>
      <c r="E8" s="3">
        <v>2.0</v>
      </c>
      <c r="F8" s="2" t="s">
        <v>128</v>
      </c>
      <c r="G8" s="3">
        <v>60.0</v>
      </c>
      <c r="H8" s="3">
        <v>85.45939564704895</v>
      </c>
      <c r="I8" s="3">
        <v>7.0</v>
      </c>
      <c r="J8" s="2" t="s">
        <v>132</v>
      </c>
    </row>
    <row r="9">
      <c r="A9" s="2" t="s">
        <v>25</v>
      </c>
      <c r="B9" s="2" t="s">
        <v>127</v>
      </c>
      <c r="C9" s="3">
        <v>35.0</v>
      </c>
      <c r="D9" s="3">
        <v>50.0</v>
      </c>
      <c r="E9" s="3">
        <v>4.0</v>
      </c>
      <c r="F9" s="2" t="s">
        <v>128</v>
      </c>
      <c r="G9" s="3">
        <v>50.0</v>
      </c>
      <c r="H9" s="3">
        <v>115.81813526153564</v>
      </c>
      <c r="I9" s="3">
        <v>8.0</v>
      </c>
      <c r="J9" s="2" t="s">
        <v>132</v>
      </c>
    </row>
    <row r="10">
      <c r="A10" s="2" t="s">
        <v>25</v>
      </c>
      <c r="B10" s="2" t="s">
        <v>127</v>
      </c>
      <c r="C10" s="3">
        <v>25.0</v>
      </c>
      <c r="D10" s="3">
        <v>1430.0</v>
      </c>
      <c r="E10" s="3">
        <v>4.0</v>
      </c>
      <c r="F10" s="2" t="s">
        <v>130</v>
      </c>
      <c r="G10" s="3">
        <v>1430.0</v>
      </c>
      <c r="H10" s="3">
        <v>189.8446021080017</v>
      </c>
      <c r="I10" s="3">
        <v>9.0</v>
      </c>
      <c r="J10" s="2" t="s">
        <v>132</v>
      </c>
    </row>
    <row r="11">
      <c r="A11" s="2" t="s">
        <v>25</v>
      </c>
      <c r="B11" s="2" t="s">
        <v>127</v>
      </c>
      <c r="C11" s="3">
        <v>15.0</v>
      </c>
      <c r="D11" s="3">
        <v>10.0</v>
      </c>
      <c r="E11" s="3">
        <v>4.0</v>
      </c>
      <c r="F11" s="2" t="s">
        <v>130</v>
      </c>
      <c r="G11" s="3">
        <v>10.0</v>
      </c>
      <c r="H11" s="3">
        <v>228.9351737499237</v>
      </c>
      <c r="I11" s="3">
        <v>10.0</v>
      </c>
      <c r="J11" s="2" t="s">
        <v>132</v>
      </c>
    </row>
    <row r="12">
      <c r="A12" s="2" t="s">
        <v>25</v>
      </c>
      <c r="B12" s="2" t="s">
        <v>127</v>
      </c>
      <c r="C12" s="3">
        <v>27.0</v>
      </c>
      <c r="D12" s="3">
        <v>1244160.0</v>
      </c>
      <c r="E12" s="3">
        <v>3.0</v>
      </c>
      <c r="F12" s="2" t="s">
        <v>128</v>
      </c>
      <c r="G12" s="3">
        <v>1.24416E7</v>
      </c>
      <c r="H12" s="3">
        <v>74.6462299823761</v>
      </c>
      <c r="I12" s="3">
        <v>11.0</v>
      </c>
      <c r="J12" s="2" t="s">
        <v>132</v>
      </c>
    </row>
    <row r="13">
      <c r="A13" s="2" t="s">
        <v>25</v>
      </c>
      <c r="B13" s="2" t="s">
        <v>127</v>
      </c>
      <c r="C13" s="3">
        <v>20.0</v>
      </c>
      <c r="D13" s="3">
        <v>27.0</v>
      </c>
      <c r="E13" s="3">
        <v>3.0</v>
      </c>
      <c r="F13" s="2" t="s">
        <v>128</v>
      </c>
      <c r="G13" s="3">
        <v>98.0</v>
      </c>
      <c r="H13" s="3">
        <v>56.36917066574097</v>
      </c>
      <c r="I13" s="3">
        <v>12.0</v>
      </c>
      <c r="J13" s="2" t="s">
        <v>132</v>
      </c>
    </row>
    <row r="14">
      <c r="A14" s="2" t="s">
        <v>25</v>
      </c>
      <c r="B14" s="2" t="s">
        <v>127</v>
      </c>
      <c r="C14" s="3">
        <v>28.0</v>
      </c>
      <c r="D14" s="3">
        <v>90.0</v>
      </c>
      <c r="E14" s="3">
        <v>2.0</v>
      </c>
      <c r="F14" s="2" t="s">
        <v>130</v>
      </c>
      <c r="G14" s="3">
        <v>90.0</v>
      </c>
      <c r="H14" s="3">
        <v>104.88154721260071</v>
      </c>
      <c r="I14" s="3">
        <v>13.0</v>
      </c>
      <c r="J14" s="2" t="s">
        <v>132</v>
      </c>
    </row>
    <row r="15">
      <c r="A15" s="2" t="s">
        <v>25</v>
      </c>
      <c r="B15" s="2" t="s">
        <v>127</v>
      </c>
      <c r="C15" s="3">
        <v>21.0</v>
      </c>
      <c r="D15" s="3">
        <v>246.0</v>
      </c>
      <c r="E15" s="3">
        <v>4.0</v>
      </c>
      <c r="F15" s="2" t="s">
        <v>130</v>
      </c>
      <c r="G15" s="3">
        <v>245.0</v>
      </c>
      <c r="H15" s="3">
        <v>116.70485401153564</v>
      </c>
      <c r="I15" s="3">
        <v>14.0</v>
      </c>
      <c r="J15" s="2" t="s">
        <v>132</v>
      </c>
    </row>
    <row r="16">
      <c r="A16" s="2" t="s">
        <v>25</v>
      </c>
      <c r="B16" s="2" t="s">
        <v>127</v>
      </c>
      <c r="C16" s="3">
        <v>7.0</v>
      </c>
      <c r="D16" s="3">
        <v>835.0</v>
      </c>
      <c r="E16" s="3">
        <v>2.0</v>
      </c>
      <c r="F16" s="2" t="s">
        <v>130</v>
      </c>
      <c r="G16" s="3">
        <v>835.0</v>
      </c>
      <c r="H16" s="3">
        <v>63.13847827911377</v>
      </c>
      <c r="I16" s="3">
        <v>15.0</v>
      </c>
      <c r="J16" s="2" t="s">
        <v>132</v>
      </c>
    </row>
    <row r="17">
      <c r="A17" s="2" t="s">
        <v>25</v>
      </c>
      <c r="B17" s="2" t="s">
        <v>127</v>
      </c>
      <c r="C17" s="3">
        <v>8.0</v>
      </c>
      <c r="D17" s="3">
        <v>14.0</v>
      </c>
      <c r="E17" s="3">
        <v>4.0</v>
      </c>
      <c r="F17" s="2" t="s">
        <v>128</v>
      </c>
      <c r="G17" s="3">
        <v>11.0</v>
      </c>
      <c r="H17" s="3">
        <v>69.75827550888062</v>
      </c>
      <c r="I17" s="3">
        <v>16.0</v>
      </c>
      <c r="J17" s="2" t="s">
        <v>132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134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31</v>
      </c>
      <c r="I1" s="2" t="s">
        <v>135</v>
      </c>
      <c r="J1" s="2" t="s">
        <v>126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134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31</v>
      </c>
      <c r="I1" s="2" t="s">
        <v>135</v>
      </c>
      <c r="J1" s="2" t="s">
        <v>126</v>
      </c>
    </row>
    <row r="2">
      <c r="A2" s="2" t="s">
        <v>20</v>
      </c>
      <c r="B2" s="2" t="s">
        <v>127</v>
      </c>
      <c r="C2" s="3">
        <v>1.0</v>
      </c>
      <c r="D2" s="3">
        <v>540.0</v>
      </c>
      <c r="E2" s="3">
        <v>3.0</v>
      </c>
      <c r="F2" s="2" t="s">
        <v>130</v>
      </c>
      <c r="G2" s="3">
        <v>540.0</v>
      </c>
      <c r="H2" s="3">
        <v>94.77282381057739</v>
      </c>
      <c r="I2" s="3">
        <v>1.0</v>
      </c>
      <c r="J2" s="2" t="s">
        <v>133</v>
      </c>
    </row>
    <row r="3">
      <c r="A3" s="2" t="s">
        <v>20</v>
      </c>
      <c r="B3" s="2" t="s">
        <v>127</v>
      </c>
      <c r="C3" s="3">
        <v>2.0</v>
      </c>
      <c r="D3" s="3">
        <v>12.0</v>
      </c>
      <c r="E3" s="3">
        <v>1.0</v>
      </c>
      <c r="F3" s="2" t="s">
        <v>130</v>
      </c>
      <c r="G3" s="3">
        <v>13.0</v>
      </c>
      <c r="H3" s="3">
        <v>63.37858200073242</v>
      </c>
      <c r="I3" s="3">
        <v>2.0</v>
      </c>
      <c r="J3" s="2" t="s">
        <v>133</v>
      </c>
    </row>
    <row r="4">
      <c r="A4" s="2" t="s">
        <v>20</v>
      </c>
      <c r="B4" s="2" t="s">
        <v>127</v>
      </c>
      <c r="C4" s="3">
        <v>3.0</v>
      </c>
      <c r="D4" s="3">
        <v>10541.52</v>
      </c>
      <c r="E4" s="3">
        <v>1.0</v>
      </c>
      <c r="F4" s="2" t="s">
        <v>130</v>
      </c>
      <c r="G4" s="3">
        <v>9360.0</v>
      </c>
      <c r="H4" s="3">
        <v>68.82684683799744</v>
      </c>
      <c r="I4" s="3">
        <v>3.0</v>
      </c>
      <c r="J4" s="2" t="s">
        <v>133</v>
      </c>
    </row>
    <row r="5">
      <c r="A5" s="2" t="s">
        <v>20</v>
      </c>
      <c r="B5" s="2" t="s">
        <v>127</v>
      </c>
      <c r="C5" s="3">
        <v>4.0</v>
      </c>
      <c r="D5" s="3">
        <v>15.0</v>
      </c>
      <c r="E5" s="3">
        <v>1.0</v>
      </c>
      <c r="F5" s="2" t="s">
        <v>130</v>
      </c>
      <c r="G5" s="3">
        <v>15.0</v>
      </c>
      <c r="H5" s="3">
        <v>77.2343122959137</v>
      </c>
      <c r="I5" s="3">
        <v>4.0</v>
      </c>
      <c r="J5" s="2" t="s">
        <v>133</v>
      </c>
    </row>
    <row r="6">
      <c r="A6" s="2" t="s">
        <v>20</v>
      </c>
      <c r="B6" s="2" t="s">
        <v>127</v>
      </c>
      <c r="C6" s="3">
        <v>10.0</v>
      </c>
      <c r="D6" s="3">
        <v>18.0</v>
      </c>
      <c r="E6" s="3">
        <v>1.0</v>
      </c>
      <c r="F6" s="2" t="s">
        <v>128</v>
      </c>
      <c r="G6" s="3">
        <v>24.0</v>
      </c>
      <c r="H6" s="3">
        <v>51.815826177597046</v>
      </c>
      <c r="I6" s="3">
        <v>5.0</v>
      </c>
      <c r="J6" s="2" t="s">
        <v>133</v>
      </c>
    </row>
    <row r="7">
      <c r="A7" s="2" t="s">
        <v>20</v>
      </c>
      <c r="B7" s="2" t="s">
        <v>127</v>
      </c>
      <c r="C7" s="3">
        <v>26.0</v>
      </c>
      <c r="D7" s="3">
        <v>46.0</v>
      </c>
      <c r="E7" s="3">
        <v>4.0</v>
      </c>
      <c r="F7" s="2" t="s">
        <v>130</v>
      </c>
      <c r="G7" s="3">
        <v>47.0</v>
      </c>
      <c r="H7" s="3">
        <v>55.802958726882935</v>
      </c>
      <c r="I7" s="3">
        <v>6.0</v>
      </c>
      <c r="J7" s="2" t="s">
        <v>133</v>
      </c>
    </row>
    <row r="8">
      <c r="A8" s="2" t="s">
        <v>20</v>
      </c>
      <c r="B8" s="2" t="s">
        <v>127</v>
      </c>
      <c r="C8" s="3">
        <v>7.0</v>
      </c>
      <c r="D8" s="3">
        <v>835.0</v>
      </c>
      <c r="E8" s="3">
        <v>4.0</v>
      </c>
      <c r="F8" s="2" t="s">
        <v>130</v>
      </c>
      <c r="G8" s="3">
        <v>835.0</v>
      </c>
      <c r="H8" s="3">
        <v>47.94355630874634</v>
      </c>
      <c r="I8" s="3">
        <v>7.0</v>
      </c>
      <c r="J8" s="2" t="s">
        <v>133</v>
      </c>
    </row>
    <row r="9">
      <c r="A9" s="2" t="s">
        <v>20</v>
      </c>
      <c r="B9" s="2" t="s">
        <v>127</v>
      </c>
      <c r="C9" s="3">
        <v>14.0</v>
      </c>
      <c r="D9" s="3">
        <v>30.0</v>
      </c>
      <c r="E9" s="3">
        <v>1.0</v>
      </c>
      <c r="F9" s="2" t="s">
        <v>128</v>
      </c>
      <c r="G9" s="3">
        <v>31.0</v>
      </c>
      <c r="H9" s="3">
        <v>77.32153677940369</v>
      </c>
      <c r="I9" s="3">
        <v>8.0</v>
      </c>
      <c r="J9" s="2" t="s">
        <v>133</v>
      </c>
    </row>
    <row r="10">
      <c r="A10" s="2" t="s">
        <v>20</v>
      </c>
      <c r="B10" s="2" t="s">
        <v>127</v>
      </c>
      <c r="C10" s="3">
        <v>13.0</v>
      </c>
      <c r="D10" s="3">
        <v>0.8333</v>
      </c>
      <c r="E10" s="3">
        <v>4.0</v>
      </c>
      <c r="F10" s="2" t="s">
        <v>128</v>
      </c>
      <c r="G10" s="3">
        <v>1.0</v>
      </c>
      <c r="H10" s="3">
        <v>59.602006673812866</v>
      </c>
      <c r="I10" s="3">
        <v>9.0</v>
      </c>
      <c r="J10" s="2" t="s">
        <v>133</v>
      </c>
    </row>
    <row r="11">
      <c r="A11" s="2" t="s">
        <v>20</v>
      </c>
      <c r="B11" s="2" t="s">
        <v>127</v>
      </c>
      <c r="C11" s="3">
        <v>25.0</v>
      </c>
      <c r="D11" s="3">
        <v>1430.0</v>
      </c>
      <c r="E11" s="3">
        <v>1.0</v>
      </c>
      <c r="F11" s="2" t="s">
        <v>130</v>
      </c>
      <c r="G11" s="3">
        <v>1430.0</v>
      </c>
      <c r="H11" s="3">
        <v>23.340635538101196</v>
      </c>
      <c r="I11" s="3">
        <v>10.0</v>
      </c>
      <c r="J11" s="2" t="s">
        <v>133</v>
      </c>
    </row>
    <row r="12">
      <c r="A12" s="2" t="s">
        <v>20</v>
      </c>
      <c r="B12" s="2" t="s">
        <v>127</v>
      </c>
      <c r="C12" s="3">
        <v>12.0</v>
      </c>
      <c r="D12" s="3">
        <v>28.0</v>
      </c>
      <c r="E12" s="3">
        <v>1.0</v>
      </c>
      <c r="F12" s="2" t="s">
        <v>128</v>
      </c>
      <c r="G12" s="3">
        <v>26.0</v>
      </c>
      <c r="H12" s="3">
        <v>80.4909119606018</v>
      </c>
      <c r="I12" s="3">
        <v>11.0</v>
      </c>
      <c r="J12" s="2" t="s">
        <v>133</v>
      </c>
    </row>
    <row r="13">
      <c r="A13" s="2" t="s">
        <v>20</v>
      </c>
      <c r="B13" s="2" t="s">
        <v>127</v>
      </c>
      <c r="C13" s="3">
        <v>22.0</v>
      </c>
      <c r="D13" s="3">
        <v>28.0</v>
      </c>
      <c r="E13" s="3">
        <v>1.0</v>
      </c>
      <c r="F13" s="2" t="s">
        <v>130</v>
      </c>
      <c r="G13" s="3">
        <v>28.0</v>
      </c>
      <c r="H13" s="3">
        <v>20.886894464492798</v>
      </c>
      <c r="I13" s="3">
        <v>12.0</v>
      </c>
      <c r="J13" s="2" t="s">
        <v>133</v>
      </c>
    </row>
    <row r="14">
      <c r="A14" s="2" t="s">
        <v>20</v>
      </c>
      <c r="B14" s="2" t="s">
        <v>127</v>
      </c>
      <c r="C14" s="3">
        <v>18.0</v>
      </c>
      <c r="D14" s="3">
        <v>120.0</v>
      </c>
      <c r="E14" s="3">
        <v>1.0</v>
      </c>
      <c r="F14" s="2" t="s">
        <v>128</v>
      </c>
      <c r="G14" s="3">
        <v>160.0</v>
      </c>
      <c r="H14" s="3">
        <v>54.39259481430054</v>
      </c>
      <c r="I14" s="3">
        <v>13.0</v>
      </c>
      <c r="J14" s="2" t="s">
        <v>133</v>
      </c>
    </row>
    <row r="15">
      <c r="A15" s="2" t="s">
        <v>20</v>
      </c>
      <c r="B15" s="2" t="s">
        <v>127</v>
      </c>
      <c r="C15" s="3">
        <v>17.0</v>
      </c>
      <c r="D15" s="3">
        <v>9.0</v>
      </c>
      <c r="E15" s="3">
        <v>5.0</v>
      </c>
      <c r="F15" s="2" t="s">
        <v>130</v>
      </c>
      <c r="G15" s="3">
        <v>9.0</v>
      </c>
      <c r="H15" s="3">
        <v>44.80656886100769</v>
      </c>
      <c r="I15" s="3">
        <v>14.0</v>
      </c>
      <c r="J15" s="2" t="s">
        <v>133</v>
      </c>
    </row>
    <row r="16">
      <c r="A16" s="2" t="s">
        <v>20</v>
      </c>
      <c r="B16" s="2" t="s">
        <v>127</v>
      </c>
      <c r="C16" s="3">
        <v>9.0</v>
      </c>
      <c r="D16" s="3">
        <v>35.0</v>
      </c>
      <c r="E16" s="3">
        <v>5.0</v>
      </c>
      <c r="F16" s="2" t="s">
        <v>130</v>
      </c>
      <c r="G16" s="3">
        <v>35.0</v>
      </c>
      <c r="H16" s="3">
        <v>11.329440355300903</v>
      </c>
      <c r="I16" s="3">
        <v>15.0</v>
      </c>
      <c r="J16" s="2" t="s">
        <v>133</v>
      </c>
    </row>
    <row r="17">
      <c r="A17" s="2" t="s">
        <v>20</v>
      </c>
      <c r="B17" s="2" t="s">
        <v>127</v>
      </c>
      <c r="C17" s="3">
        <v>23.0</v>
      </c>
      <c r="D17" s="3">
        <v>98.0</v>
      </c>
      <c r="E17" s="3">
        <v>4.0</v>
      </c>
      <c r="F17" s="2" t="s">
        <v>130</v>
      </c>
      <c r="G17" s="3">
        <v>98.0</v>
      </c>
      <c r="H17" s="3">
        <v>107.33871579170227</v>
      </c>
      <c r="I17" s="3">
        <v>16.0</v>
      </c>
      <c r="J17" s="2" t="s">
        <v>133</v>
      </c>
    </row>
  </sheetData>
  <drawing r:id="rId1"/>
</worksheet>
</file>